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1750" tabRatio="812" activeTab="3"/>
  </bookViews>
  <sheets>
    <sheet name="美团客房OTA" sheetId="1" r:id="rId1"/>
    <sheet name="美团客房rezen" sheetId="2" r:id="rId2"/>
    <sheet name="美团餐饮OTA" sheetId="3" r:id="rId3"/>
    <sheet name="美团餐饮rezen" sheetId="4" r:id="rId4"/>
    <sheet name="携程客房OTA" sheetId="5" r:id="rId5"/>
    <sheet name="携程客房rezen" sheetId="6" r:id="rId6"/>
    <sheet name="携程餐饮OTA" sheetId="7" r:id="rId7"/>
    <sheet name="携程餐饮rezen" sheetId="8" r:id="rId8"/>
    <sheet name="飞猪OTA1" sheetId="9" r:id="rId9"/>
    <sheet name="飞猪OTA2" sheetId="11" r:id="rId10"/>
    <sheet name="飞猪rezen" sheetId="10" r:id="rId11"/>
    <sheet name="抖音OTA" sheetId="12" r:id="rId12"/>
    <sheet name="抖音rezen" sheetId="13" r:id="rId13"/>
  </sheets>
  <externalReferences>
    <externalReference r:id="rId14"/>
    <externalReference r:id="rId1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<sst xmlns="http://schemas.openxmlformats.org/spreadsheetml/2006/main" count="2105" uniqueCount="694">
  <si>
    <t>美团订单号</t>
  </si>
  <si>
    <t>结算金额</t>
  </si>
  <si>
    <t>订单底价</t>
  </si>
  <si>
    <t>技术服务费</t>
  </si>
  <si>
    <t>5035035859420585539</t>
  </si>
  <si>
    <t>5035035843998966336</t>
  </si>
  <si>
    <t>5035035860916164555</t>
  </si>
  <si>
    <t>5035035854639272006</t>
  </si>
  <si>
    <t>5035035843846267836</t>
  </si>
  <si>
    <t>5035035849984984713</t>
  </si>
  <si>
    <t>5035035847942388360</t>
  </si>
  <si>
    <t>5026028625344753431</t>
  </si>
  <si>
    <t>5026028620507264918</t>
  </si>
  <si>
    <t>5035035860996827177</t>
  </si>
  <si>
    <t>5035035865045599451</t>
  </si>
  <si>
    <t>5035035859326763221</t>
  </si>
  <si>
    <t>5035035862676038793</t>
  </si>
  <si>
    <t>5035035864156924880</t>
  </si>
  <si>
    <t>5035035864327225304</t>
  </si>
  <si>
    <t>5035035859797402904</t>
  </si>
  <si>
    <t>5035035859588323323</t>
  </si>
  <si>
    <t>5035035857685752843</t>
  </si>
  <si>
    <t>5035035857254153877</t>
  </si>
  <si>
    <t>5035035861671047505</t>
  </si>
  <si>
    <t>5035035861907197612</t>
  </si>
  <si>
    <t>5035035866354161976</t>
  </si>
  <si>
    <t>5035035869164453495</t>
  </si>
  <si>
    <t>5035035868198125550</t>
  </si>
  <si>
    <t>5035035865063736318</t>
  </si>
  <si>
    <t>5035035868995408372</t>
  </si>
  <si>
    <t>5035035872784697227</t>
  </si>
  <si>
    <t>5035035866182999042</t>
  </si>
  <si>
    <t>5035035872276297611</t>
  </si>
  <si>
    <t>5035035865038376529</t>
  </si>
  <si>
    <t>5035035875281387966</t>
  </si>
  <si>
    <t>5035035870761123176</t>
  </si>
  <si>
    <t>5035035875949603232</t>
  </si>
  <si>
    <t>5035035873728669333</t>
  </si>
  <si>
    <t>5035035875866411655</t>
  </si>
  <si>
    <t>5035035869408727636</t>
  </si>
  <si>
    <t>5035035875852346784</t>
  </si>
  <si>
    <t>5035035870954652996</t>
  </si>
  <si>
    <t>5035035870709861606</t>
  </si>
  <si>
    <t>5035035866755041782</t>
  </si>
  <si>
    <t>5035035874009497539</t>
  </si>
  <si>
    <t>5035035869697356972</t>
  </si>
  <si>
    <t>5035035850782178644</t>
  </si>
  <si>
    <t>5035035874194649735</t>
  </si>
  <si>
    <t>5035035875711132950</t>
  </si>
  <si>
    <t>5035035871687708650</t>
  </si>
  <si>
    <t>5035035874806397991</t>
  </si>
  <si>
    <t>5035035874230955454</t>
  </si>
  <si>
    <t>5035035875496357295</t>
  </si>
  <si>
    <t>5035035871962734714</t>
  </si>
  <si>
    <t>5035035859521100817</t>
  </si>
  <si>
    <t>外部订单号</t>
  </si>
  <si>
    <t>金额</t>
  </si>
  <si>
    <t>借方</t>
  </si>
  <si>
    <t>5035035859326763221/202607120031</t>
  </si>
  <si>
    <t>5035035874194649735/5035035875866411655</t>
  </si>
  <si>
    <t>券号</t>
  </si>
  <si>
    <t>订单号</t>
  </si>
  <si>
    <t>售价（美团售价）</t>
  </si>
  <si>
    <t>平台服务费-技术服务费（平台实际扣除）</t>
  </si>
  <si>
    <t>029198044711</t>
  </si>
  <si>
    <t>5026047104801667112</t>
  </si>
  <si>
    <t/>
  </si>
  <si>
    <t>029214344486</t>
  </si>
  <si>
    <t>5026047104033539511</t>
  </si>
  <si>
    <t>032026702954</t>
  </si>
  <si>
    <t>5026047120242435787</t>
  </si>
  <si>
    <t>030897555046</t>
  </si>
  <si>
    <t>5026047129702161014</t>
  </si>
  <si>
    <t>030338455684</t>
  </si>
  <si>
    <t>030401755906</t>
  </si>
  <si>
    <t>032199102431</t>
  </si>
  <si>
    <t>5026047142187064675</t>
  </si>
  <si>
    <t>030902855308</t>
  </si>
  <si>
    <t>5026047158727832484</t>
  </si>
  <si>
    <t>031205455617</t>
  </si>
  <si>
    <t>031238255153</t>
  </si>
  <si>
    <t>031169455020</t>
  </si>
  <si>
    <t>031219455229</t>
  </si>
  <si>
    <t>031154955939</t>
  </si>
  <si>
    <t>033463302573</t>
  </si>
  <si>
    <t>5035054387053929981</t>
  </si>
  <si>
    <t>033550702022</t>
  </si>
  <si>
    <t>5035054386852383511</t>
  </si>
  <si>
    <t>025263769293</t>
  </si>
  <si>
    <t>5035054432774353735</t>
  </si>
  <si>
    <t>028730069458</t>
  </si>
  <si>
    <t>5035054433467178184</t>
  </si>
  <si>
    <t>024107669429</t>
  </si>
  <si>
    <t>5035054433882399374</t>
  </si>
  <si>
    <t>031218655422</t>
  </si>
  <si>
    <t>5035054437782203648</t>
  </si>
  <si>
    <t>031178655628</t>
  </si>
  <si>
    <t>030807955556</t>
  </si>
  <si>
    <t>030653055588</t>
  </si>
  <si>
    <t>033404502862</t>
  </si>
  <si>
    <t>5035054436217108997</t>
  </si>
  <si>
    <t>030896255456</t>
  </si>
  <si>
    <t>030937955294</t>
  </si>
  <si>
    <t>031119555276</t>
  </si>
  <si>
    <t>030891055908</t>
  </si>
  <si>
    <t>028994715514</t>
  </si>
  <si>
    <t>5035054447728605838</t>
  </si>
  <si>
    <t>032000902983</t>
  </si>
  <si>
    <t>5035054449646888651</t>
  </si>
  <si>
    <t>029055322206</t>
  </si>
  <si>
    <t>5035054452403403888</t>
  </si>
  <si>
    <t>031103755521</t>
  </si>
  <si>
    <t>5035054453937899251</t>
  </si>
  <si>
    <t>029705955852</t>
  </si>
  <si>
    <t>030806455047</t>
  </si>
  <si>
    <t>031240055692</t>
  </si>
  <si>
    <t>031252955890</t>
  </si>
  <si>
    <t>031388355936</t>
  </si>
  <si>
    <t>029908655581</t>
  </si>
  <si>
    <t>5035054466087254614</t>
  </si>
  <si>
    <t>030526855411</t>
  </si>
  <si>
    <t>031227255307</t>
  </si>
  <si>
    <t>5035054465439361534</t>
  </si>
  <si>
    <t>031036855722</t>
  </si>
  <si>
    <t>032722102063</t>
  </si>
  <si>
    <t>5035054467915534756</t>
  </si>
  <si>
    <t>031253855551</t>
  </si>
  <si>
    <t>030529555818</t>
  </si>
  <si>
    <t>033582102597</t>
  </si>
  <si>
    <t>5035054466205928089</t>
  </si>
  <si>
    <t>030723855986</t>
  </si>
  <si>
    <t>028569869430</t>
  </si>
  <si>
    <t>5035054466348029619</t>
  </si>
  <si>
    <t>028138544605</t>
  </si>
  <si>
    <t>5035054475236751780</t>
  </si>
  <si>
    <t>028981155994</t>
  </si>
  <si>
    <t>5035054483240538710</t>
  </si>
  <si>
    <t>031192255438</t>
  </si>
  <si>
    <t>031336555115</t>
  </si>
  <si>
    <t>5035054496561328461</t>
  </si>
  <si>
    <t>030996655976</t>
  </si>
  <si>
    <t>030148155857</t>
  </si>
  <si>
    <t>031131455918</t>
  </si>
  <si>
    <t>031223355709</t>
  </si>
  <si>
    <t>031173755483</t>
  </si>
  <si>
    <t>5035054499735170507</t>
  </si>
  <si>
    <t>030920055088</t>
  </si>
  <si>
    <t>031306255632</t>
  </si>
  <si>
    <t>030461955677</t>
  </si>
  <si>
    <t>030878055687</t>
  </si>
  <si>
    <t>030937755996</t>
  </si>
  <si>
    <t>030688855092</t>
  </si>
  <si>
    <t>031151155619</t>
  </si>
  <si>
    <t>031327755337</t>
  </si>
  <si>
    <t>030211455742</t>
  </si>
  <si>
    <t>5035054520799840696</t>
  </si>
  <si>
    <t>030976755117</t>
  </si>
  <si>
    <t>5035054520033783245</t>
  </si>
  <si>
    <t>027440669658</t>
  </si>
  <si>
    <t>5035054519621713290</t>
  </si>
  <si>
    <t>031048755007</t>
  </si>
  <si>
    <t>030952155971</t>
  </si>
  <si>
    <t>031432455954</t>
  </si>
  <si>
    <t>030978555665</t>
  </si>
  <si>
    <t>5035054517874634628</t>
  </si>
  <si>
    <t>033451202243</t>
  </si>
  <si>
    <t>5035054520221198888</t>
  </si>
  <si>
    <t>029773755354</t>
  </si>
  <si>
    <t>031384355821</t>
  </si>
  <si>
    <t>031334755275</t>
  </si>
  <si>
    <t>030166855128</t>
  </si>
  <si>
    <t>031199855290</t>
  </si>
  <si>
    <t>030773955231</t>
  </si>
  <si>
    <t>030199255946</t>
  </si>
  <si>
    <t>031382355398</t>
  </si>
  <si>
    <t>031038155268</t>
  </si>
  <si>
    <t>028304439339</t>
  </si>
  <si>
    <t>5035054531676148818</t>
  </si>
  <si>
    <t>022284955382</t>
  </si>
  <si>
    <t>5035054540153604009</t>
  </si>
  <si>
    <t>031043455340</t>
  </si>
  <si>
    <t>030567155788</t>
  </si>
  <si>
    <t>031211055772</t>
  </si>
  <si>
    <t>031337955529</t>
  </si>
  <si>
    <t>031175755115</t>
  </si>
  <si>
    <t>030534355074</t>
  </si>
  <si>
    <t>029287444494</t>
  </si>
  <si>
    <t>5035054548003500021</t>
  </si>
  <si>
    <t>029250044693</t>
  </si>
  <si>
    <t>026334569503</t>
  </si>
  <si>
    <t>5035054560222515790</t>
  </si>
  <si>
    <t>031212755806</t>
  </si>
  <si>
    <t>5035054564707369602</t>
  </si>
  <si>
    <t>031219055340</t>
  </si>
  <si>
    <t>033666602115</t>
  </si>
  <si>
    <t>5035054563871845288</t>
  </si>
  <si>
    <t>030832755275</t>
  </si>
  <si>
    <t>033737302419</t>
  </si>
  <si>
    <t>5035054585153584402</t>
  </si>
  <si>
    <t>028762769062</t>
  </si>
  <si>
    <t>5035054588364160387</t>
  </si>
  <si>
    <t>033669402249</t>
  </si>
  <si>
    <t>5035054590255465487</t>
  </si>
  <si>
    <t>028583669453</t>
  </si>
  <si>
    <t>5035054607867860955</t>
  </si>
  <si>
    <t>030002955817</t>
  </si>
  <si>
    <t>5035054614906089985</t>
  </si>
  <si>
    <t>031486655425</t>
  </si>
  <si>
    <t>028239469688</t>
  </si>
  <si>
    <t>5035054609057865797</t>
  </si>
  <si>
    <t>031116555900</t>
  </si>
  <si>
    <t>030769655751</t>
  </si>
  <si>
    <t>029382755315</t>
  </si>
  <si>
    <t>030272155789</t>
  </si>
  <si>
    <t>031491855372</t>
  </si>
  <si>
    <t>5035054615931516034</t>
  </si>
  <si>
    <t>029647355688</t>
  </si>
  <si>
    <t>031041155618</t>
  </si>
  <si>
    <t>031362355093</t>
  </si>
  <si>
    <t>031500055956</t>
  </si>
  <si>
    <t>031034255739</t>
  </si>
  <si>
    <t>029241844594</t>
  </si>
  <si>
    <t>5035054619751945575</t>
  </si>
  <si>
    <t>029397444577</t>
  </si>
  <si>
    <t>5035054621166953028</t>
  </si>
  <si>
    <t>031337355491</t>
  </si>
  <si>
    <t>5035054629635733261</t>
  </si>
  <si>
    <t>031140355056</t>
  </si>
  <si>
    <t>5035054629331951945</t>
  </si>
  <si>
    <t>031338355147</t>
  </si>
  <si>
    <t>5035054630457378982</t>
  </si>
  <si>
    <t>029861055886</t>
  </si>
  <si>
    <t>031314055115</t>
  </si>
  <si>
    <t>031485455842</t>
  </si>
  <si>
    <t>031236455797</t>
  </si>
  <si>
    <t>031139955995</t>
  </si>
  <si>
    <t>028344055126</t>
  </si>
  <si>
    <t>031429255792</t>
  </si>
  <si>
    <t>031255855384</t>
  </si>
  <si>
    <t>031018155131</t>
  </si>
  <si>
    <t>030919355614</t>
  </si>
  <si>
    <t>031400455965</t>
  </si>
  <si>
    <t>031367155383</t>
  </si>
  <si>
    <t>027917354679</t>
  </si>
  <si>
    <t>5035054631069031701</t>
  </si>
  <si>
    <t>031119054191</t>
  </si>
  <si>
    <t>5035054634053674421</t>
  </si>
  <si>
    <t>031230754324</t>
  </si>
  <si>
    <t>5035054632497606047</t>
  </si>
  <si>
    <t>031132854712</t>
  </si>
  <si>
    <t>5035054633820314125</t>
  </si>
  <si>
    <t>030926702811</t>
  </si>
  <si>
    <t>5035054643035061238</t>
  </si>
  <si>
    <t>034777209467</t>
  </si>
  <si>
    <t>5035054638841013017</t>
  </si>
  <si>
    <t>033130602373</t>
  </si>
  <si>
    <t>5035054640670452749</t>
  </si>
  <si>
    <t>031282355084</t>
  </si>
  <si>
    <t>5035054649021549486</t>
  </si>
  <si>
    <t>027426087696</t>
  </si>
  <si>
    <t>5035054649487282732</t>
  </si>
  <si>
    <t>结账单号</t>
  </si>
  <si>
    <t>2607110040</t>
  </si>
  <si>
    <t>2607110064</t>
  </si>
  <si>
    <t>2607110073</t>
  </si>
  <si>
    <t>2606280003</t>
  </si>
  <si>
    <t>2606280007</t>
  </si>
  <si>
    <t>2606280031</t>
  </si>
  <si>
    <t>2606280051</t>
  </si>
  <si>
    <t>2606290012</t>
  </si>
  <si>
    <t>2606300001</t>
  </si>
  <si>
    <t>2607010014</t>
  </si>
  <si>
    <t>2607010013</t>
  </si>
  <si>
    <t>2607030024</t>
  </si>
  <si>
    <t>2607030022</t>
  </si>
  <si>
    <t>2607030034</t>
  </si>
  <si>
    <t>2607030016</t>
  </si>
  <si>
    <t>2607030027</t>
  </si>
  <si>
    <t>2607040014</t>
  </si>
  <si>
    <t>2607040013</t>
  </si>
  <si>
    <t>2607040020</t>
  </si>
  <si>
    <t>2607040052</t>
  </si>
  <si>
    <t>2607060013</t>
  </si>
  <si>
    <t>2607060020</t>
  </si>
  <si>
    <t>2607060022</t>
  </si>
  <si>
    <t>2607060027</t>
  </si>
  <si>
    <t>2607060030</t>
  </si>
  <si>
    <t>2607110001</t>
  </si>
  <si>
    <t>2607110003</t>
  </si>
  <si>
    <t>2607110015</t>
  </si>
  <si>
    <t>2607110017</t>
  </si>
  <si>
    <t>2607110028</t>
  </si>
  <si>
    <t>2607090026</t>
  </si>
  <si>
    <t>2607090016</t>
  </si>
  <si>
    <t>2607090030</t>
  </si>
  <si>
    <t>2607100028</t>
  </si>
  <si>
    <t>2607100032</t>
  </si>
  <si>
    <t>2607100034</t>
  </si>
  <si>
    <t>2607100021</t>
  </si>
  <si>
    <t>2607040053</t>
  </si>
  <si>
    <t>2607040050</t>
  </si>
  <si>
    <t>2607040005</t>
  </si>
  <si>
    <t>2607040007</t>
  </si>
  <si>
    <t>2607040008</t>
  </si>
  <si>
    <t>132450</t>
  </si>
  <si>
    <t>2607050005</t>
  </si>
  <si>
    <t>2607050022</t>
  </si>
  <si>
    <t>2607050033</t>
  </si>
  <si>
    <t>2607050047</t>
  </si>
  <si>
    <t>2607070003</t>
  </si>
  <si>
    <t>2607070004</t>
  </si>
  <si>
    <t>2607080008</t>
  </si>
  <si>
    <t>2607080019</t>
  </si>
  <si>
    <t>2607080027</t>
  </si>
  <si>
    <t>2607080033</t>
  </si>
  <si>
    <t>2607110019</t>
  </si>
  <si>
    <t>2607110032</t>
  </si>
  <si>
    <t>2607110031</t>
  </si>
  <si>
    <t>2607110037</t>
  </si>
  <si>
    <t>2607110042</t>
  </si>
  <si>
    <t>结算价</t>
  </si>
  <si>
    <t>付面付底</t>
  </si>
  <si>
    <t>订单折前底价/卖价</t>
  </si>
  <si>
    <t>底价/卖价折扣金额</t>
  </si>
  <si>
    <t>底价/卖价补款金额</t>
  </si>
  <si>
    <t>闪住杂费</t>
  </si>
  <si>
    <t>币种</t>
  </si>
  <si>
    <t>1128149136944097</t>
  </si>
  <si>
    <t>面价</t>
  </si>
  <si>
    <t>8414.00</t>
  </si>
  <si>
    <t>0.00</t>
  </si>
  <si>
    <t>RMB</t>
  </si>
  <si>
    <t>1128149206500042</t>
  </si>
  <si>
    <t>1986.00</t>
  </si>
  <si>
    <t>1128149165313125</t>
  </si>
  <si>
    <t>5958.00</t>
  </si>
  <si>
    <t>1128149177759445</t>
  </si>
  <si>
    <t>2221.00</t>
  </si>
  <si>
    <t>1128149177881022</t>
  </si>
  <si>
    <t>1128149178095552</t>
  </si>
  <si>
    <t>4442.00</t>
  </si>
  <si>
    <t>1128149214012362</t>
  </si>
  <si>
    <t>1128149207935836</t>
  </si>
  <si>
    <t>1128149200737424</t>
  </si>
  <si>
    <t>1128149177689183</t>
  </si>
  <si>
    <t>2574.00</t>
  </si>
  <si>
    <t>1128149202779644</t>
  </si>
  <si>
    <t>1128149206937157</t>
  </si>
  <si>
    <t>1128149069500491</t>
  </si>
  <si>
    <t>1128149144501111</t>
  </si>
  <si>
    <t>1128149149770182</t>
  </si>
  <si>
    <t>1128149206812035</t>
  </si>
  <si>
    <t>1132547243450574</t>
  </si>
  <si>
    <t>1918.00</t>
  </si>
  <si>
    <t>1128149177744941</t>
  </si>
  <si>
    <t>1128149176471839</t>
  </si>
  <si>
    <t>1128149176781126</t>
  </si>
  <si>
    <t>1128149213789825</t>
  </si>
  <si>
    <t>1128148944625287</t>
  </si>
  <si>
    <t>8193.00</t>
  </si>
  <si>
    <t>1128149144339290</t>
  </si>
  <si>
    <t>1128149174600870</t>
  </si>
  <si>
    <t>2038.00</t>
  </si>
  <si>
    <t>1128148819488687</t>
  </si>
  <si>
    <t>1128149206698160</t>
  </si>
  <si>
    <t>1128149141959315</t>
  </si>
  <si>
    <t>1128149203933613</t>
  </si>
  <si>
    <t>1000.00</t>
  </si>
  <si>
    <t>1128149202634488</t>
  </si>
  <si>
    <t>1128149176854129</t>
  </si>
  <si>
    <t>3972.00</t>
  </si>
  <si>
    <t>1128149198028570</t>
  </si>
  <si>
    <t>1128149127355545</t>
  </si>
  <si>
    <t>1128148903593992</t>
  </si>
  <si>
    <t>1128149168487036</t>
  </si>
  <si>
    <t>1128149208931275</t>
  </si>
  <si>
    <t>1128149150503901</t>
  </si>
  <si>
    <t>1359045680023328</t>
  </si>
  <si>
    <t>1486589326691070</t>
  </si>
  <si>
    <t>1359045942424075</t>
  </si>
  <si>
    <t>4063.00</t>
  </si>
  <si>
    <t>1359045809240962</t>
  </si>
  <si>
    <t>4376.00</t>
  </si>
  <si>
    <t>1486589326685966</t>
  </si>
  <si>
    <t>1539366002685147</t>
  </si>
  <si>
    <t>1539365948074507</t>
  </si>
  <si>
    <t>1359045960064044</t>
  </si>
  <si>
    <t>1688899543494571</t>
  </si>
  <si>
    <t>1359045810501677</t>
  </si>
  <si>
    <t>1658113191334189</t>
  </si>
  <si>
    <t>4677.00</t>
  </si>
  <si>
    <t>1658113074342905</t>
  </si>
  <si>
    <t>1128149228052658</t>
  </si>
  <si>
    <t>1176.00</t>
  </si>
  <si>
    <t>1128149213143756</t>
  </si>
  <si>
    <t>1128149220772941</t>
  </si>
  <si>
    <t>1128149216989256</t>
  </si>
  <si>
    <t>1128148974604925</t>
  </si>
  <si>
    <t>5148.00</t>
  </si>
  <si>
    <t>1128148906595641</t>
  </si>
  <si>
    <t>1128149119972648</t>
  </si>
  <si>
    <t>1128149179615465</t>
  </si>
  <si>
    <t>1128149219657183</t>
  </si>
  <si>
    <t>1128149019460112</t>
  </si>
  <si>
    <t>4126.00</t>
  </si>
  <si>
    <t>1128149221540997</t>
  </si>
  <si>
    <t>1128149217708260</t>
  </si>
  <si>
    <t>1128149214387259</t>
  </si>
  <si>
    <t>1128149217030701</t>
  </si>
  <si>
    <t>1128149013690754</t>
  </si>
  <si>
    <t>1128149221392925</t>
  </si>
  <si>
    <t>1128149221415583</t>
  </si>
  <si>
    <t>1128149233178248</t>
  </si>
  <si>
    <t>1128149172368612</t>
  </si>
  <si>
    <t>7722.00</t>
  </si>
  <si>
    <t>1128149221670954</t>
  </si>
  <si>
    <t>1128149223175637</t>
  </si>
  <si>
    <t>1128148908294751</t>
  </si>
  <si>
    <t>6752.00</t>
  </si>
  <si>
    <t>1128149176688328</t>
  </si>
  <si>
    <t>1128149202254086</t>
  </si>
  <si>
    <t>1128149204831356</t>
  </si>
  <si>
    <t>1128149237599633</t>
  </si>
  <si>
    <t>1128149005129850</t>
  </si>
  <si>
    <t>1128149239006950</t>
  </si>
  <si>
    <t>3398.00</t>
  </si>
  <si>
    <t>1128149179844089</t>
  </si>
  <si>
    <t>1128149222003964</t>
  </si>
  <si>
    <t>2028.00</t>
  </si>
  <si>
    <t>1128149215709823</t>
  </si>
  <si>
    <t>1128149245343888</t>
  </si>
  <si>
    <t>1128149207786370</t>
  </si>
  <si>
    <t>1128149060633084</t>
  </si>
  <si>
    <t>4176.00</t>
  </si>
  <si>
    <t>1128149102662527</t>
  </si>
  <si>
    <t>1128149006167588</t>
  </si>
  <si>
    <t>1128148918044335</t>
  </si>
  <si>
    <t>1189.00</t>
  </si>
  <si>
    <t>1128149238383460</t>
  </si>
  <si>
    <t>1128149238404942</t>
  </si>
  <si>
    <t>1128149206046555</t>
  </si>
  <si>
    <t>1128149076713435</t>
  </si>
  <si>
    <t>2098.00</t>
  </si>
  <si>
    <t>1128148940803890</t>
  </si>
  <si>
    <t>8376.00</t>
  </si>
  <si>
    <t>1128149239815588</t>
  </si>
  <si>
    <t>2352.00</t>
  </si>
  <si>
    <t>1128149221460107</t>
  </si>
  <si>
    <t>1128148898958298</t>
  </si>
  <si>
    <t>11916.00</t>
  </si>
  <si>
    <t>-5958.00</t>
  </si>
  <si>
    <t>1128149021132353</t>
  </si>
  <si>
    <t>底价</t>
  </si>
  <si>
    <t>1128149079281402</t>
  </si>
  <si>
    <t>1128148997343157</t>
  </si>
  <si>
    <t>33315.00</t>
  </si>
  <si>
    <t>1128148999707784</t>
  </si>
  <si>
    <t>6663.00</t>
  </si>
  <si>
    <t>1128149206428253</t>
  </si>
  <si>
    <t>-2221.00</t>
  </si>
  <si>
    <t>1128148997364859</t>
  </si>
  <si>
    <t>1128149004134756</t>
  </si>
  <si>
    <t>7944.00</t>
  </si>
  <si>
    <t>-3972.00</t>
  </si>
  <si>
    <t>1128149273960296</t>
  </si>
  <si>
    <t>1128149237683965</t>
  </si>
  <si>
    <t>1128149021146618</t>
  </si>
  <si>
    <t>1128149235378072</t>
  </si>
  <si>
    <t>1128149256699086</t>
  </si>
  <si>
    <t>1359046170571411</t>
  </si>
  <si>
    <t>1128149103829111</t>
  </si>
  <si>
    <t>1128149102346008</t>
  </si>
  <si>
    <t>2000.00</t>
  </si>
  <si>
    <t>1359046097465435</t>
  </si>
  <si>
    <t>1359046077822165</t>
  </si>
  <si>
    <t>1359046096832492</t>
  </si>
  <si>
    <t>1359046096846464</t>
  </si>
  <si>
    <t>1359046028516461</t>
  </si>
  <si>
    <t>3836.00</t>
  </si>
  <si>
    <t>1128149299212258</t>
  </si>
  <si>
    <t>1128149271321013</t>
  </si>
  <si>
    <t>1128149207773373</t>
  </si>
  <si>
    <t>1128149233894772</t>
  </si>
  <si>
    <t>1128149247648677</t>
  </si>
  <si>
    <t>1128148801982664</t>
  </si>
  <si>
    <t>1128149203042217</t>
  </si>
  <si>
    <t>1128149244923559</t>
  </si>
  <si>
    <t>1128149292989803</t>
  </si>
  <si>
    <t>1128149298587792</t>
  </si>
  <si>
    <t>1128149207024053</t>
  </si>
  <si>
    <t>1128149201114225</t>
  </si>
  <si>
    <t>1128149284423319</t>
  </si>
  <si>
    <t>1128149255234216</t>
  </si>
  <si>
    <t>1128149175935368</t>
  </si>
  <si>
    <t>4276.00</t>
  </si>
  <si>
    <t>-2188.00</t>
  </si>
  <si>
    <t>1128149279345124</t>
  </si>
  <si>
    <t>1128149126394851</t>
  </si>
  <si>
    <t>1128149272873503</t>
  </si>
  <si>
    <t>1128149252303086</t>
  </si>
  <si>
    <t>1128149146422453</t>
  </si>
  <si>
    <t>1128149169083232</t>
  </si>
  <si>
    <t>1128149296066700</t>
  </si>
  <si>
    <t>1128149145396452</t>
  </si>
  <si>
    <t>1128147920667188</t>
  </si>
  <si>
    <t>1128149283711216</t>
  </si>
  <si>
    <t>1438.00</t>
  </si>
  <si>
    <t>1128149095225026</t>
  </si>
  <si>
    <t>5266.00</t>
  </si>
  <si>
    <t>1128149304083753</t>
  </si>
  <si>
    <t>3176.00</t>
  </si>
  <si>
    <t>1128149019831240</t>
  </si>
  <si>
    <t>4090.00</t>
  </si>
  <si>
    <t>1128149330914741</t>
  </si>
  <si>
    <t>2104.00</t>
  </si>
  <si>
    <t>1128149342775582</t>
  </si>
  <si>
    <t>1128149338375762</t>
  </si>
  <si>
    <t>2927.00</t>
  </si>
  <si>
    <t>1128149303208469</t>
  </si>
  <si>
    <t>1128149275452134</t>
  </si>
  <si>
    <t>1128149303527930</t>
  </si>
  <si>
    <t>2692.00</t>
  </si>
  <si>
    <t>1128149258626543</t>
  </si>
  <si>
    <t>1128149291609606</t>
  </si>
  <si>
    <t>1128149277480788</t>
  </si>
  <si>
    <t>1128149304202257</t>
  </si>
  <si>
    <t>1128149254691050</t>
  </si>
  <si>
    <t>1588.00</t>
  </si>
  <si>
    <t>1128149280587083</t>
  </si>
  <si>
    <t>1128148881783836</t>
  </si>
  <si>
    <t>-3045.00</t>
  </si>
  <si>
    <t>1128149221250770</t>
  </si>
  <si>
    <t>2339.00</t>
  </si>
  <si>
    <t>1128149248605833</t>
  </si>
  <si>
    <t>5030.00</t>
  </si>
  <si>
    <t>1128148878707289</t>
  </si>
  <si>
    <t>1128149304188085</t>
  </si>
  <si>
    <t>1128149255253748</t>
  </si>
  <si>
    <t>10532.00</t>
  </si>
  <si>
    <t>1359046194455604</t>
  </si>
  <si>
    <t>2032.00</t>
  </si>
  <si>
    <t>1359046133724671</t>
  </si>
  <si>
    <t>7900.00</t>
  </si>
  <si>
    <t>1359045901892603</t>
  </si>
  <si>
    <t>1359046150288957</t>
  </si>
  <si>
    <t>6096.00</t>
  </si>
  <si>
    <t>1359045681432387</t>
  </si>
  <si>
    <t>3950.00</t>
  </si>
  <si>
    <t>1359046124581284</t>
  </si>
  <si>
    <t>5854.00</t>
  </si>
  <si>
    <t>1658113019986689</t>
  </si>
  <si>
    <t>1128149284055318</t>
  </si>
  <si>
    <t>3162.00</t>
  </si>
  <si>
    <t>1128149109731409</t>
  </si>
  <si>
    <t>1128149341117372</t>
  </si>
  <si>
    <t>4678.00</t>
  </si>
  <si>
    <t>1128149004276577</t>
  </si>
  <si>
    <t>6324.00</t>
  </si>
  <si>
    <t>1128149359545713</t>
  </si>
  <si>
    <t>1128148940728647</t>
  </si>
  <si>
    <t>1359046056372794</t>
  </si>
  <si>
    <t>2486.00</t>
  </si>
  <si>
    <t>1128149212815039</t>
  </si>
  <si>
    <t>2809.00</t>
  </si>
  <si>
    <t>1128149302838611</t>
  </si>
  <si>
    <t>1132547350292214</t>
  </si>
  <si>
    <t>3045.00</t>
  </si>
  <si>
    <t>1128149281379903</t>
  </si>
  <si>
    <t>1128149302823318</t>
  </si>
  <si>
    <t>1359046191019325</t>
  </si>
  <si>
    <t>1128149280546954</t>
  </si>
  <si>
    <t>1128149207584793</t>
  </si>
  <si>
    <t>1128149344870976</t>
  </si>
  <si>
    <t>1128149231395097</t>
  </si>
  <si>
    <t>6664.00</t>
  </si>
  <si>
    <t>1128149231383895</t>
  </si>
  <si>
    <t>1128149353857884</t>
  </si>
  <si>
    <t>1128149287617406</t>
  </si>
  <si>
    <t>1128149106112977</t>
  </si>
  <si>
    <t>1128149298172399</t>
  </si>
  <si>
    <t>1128149249052610</t>
  </si>
  <si>
    <t>3986.00</t>
  </si>
  <si>
    <t>1128149340891374</t>
  </si>
  <si>
    <t>1128149343594349</t>
  </si>
  <si>
    <t>4196.00</t>
  </si>
  <si>
    <t>1132547391281864</t>
  </si>
  <si>
    <t>1128149251379033</t>
  </si>
  <si>
    <t>1128149335016555</t>
  </si>
  <si>
    <t>1128149339172137</t>
  </si>
  <si>
    <t>1128149206720592</t>
  </si>
  <si>
    <t>1128149297897157</t>
  </si>
  <si>
    <t>1128149249401320</t>
  </si>
  <si>
    <t>1128149335096998</t>
  </si>
  <si>
    <t>1128148940728640</t>
  </si>
  <si>
    <t>1128149302072074</t>
  </si>
  <si>
    <t>1128149302135325</t>
  </si>
  <si>
    <t>1128149334669014</t>
  </si>
  <si>
    <t>1128149298748084</t>
  </si>
  <si>
    <t>1128149359759048</t>
  </si>
  <si>
    <t>1128149354024244</t>
  </si>
  <si>
    <t>1128149341698164</t>
  </si>
  <si>
    <t>1128149063446783</t>
  </si>
  <si>
    <t>1128149216157898</t>
  </si>
  <si>
    <t>1128149336636590</t>
  </si>
  <si>
    <t>1128149354742376</t>
  </si>
  <si>
    <t>1128149345059369</t>
  </si>
  <si>
    <t>1128149354127658</t>
  </si>
  <si>
    <t>1653715002861515</t>
  </si>
  <si>
    <t>1359046123463033</t>
  </si>
  <si>
    <t>4518.00</t>
  </si>
  <si>
    <t>1359045941368037</t>
  </si>
  <si>
    <t>1128149329915383</t>
  </si>
  <si>
    <t>1359045957862554</t>
  </si>
  <si>
    <t>1359045957856879</t>
  </si>
  <si>
    <t>1359045957852506</t>
  </si>
  <si>
    <t>1128149274084798</t>
  </si>
  <si>
    <t>9196.00</t>
  </si>
  <si>
    <t>1658113286185380</t>
  </si>
  <si>
    <t>9036.00</t>
  </si>
  <si>
    <t>1128149337331622</t>
  </si>
  <si>
    <t>1381.56</t>
  </si>
  <si>
    <t>1128148803668321</t>
  </si>
  <si>
    <t>1128149207773373/	202607160002</t>
  </si>
  <si>
    <t>美食林券号</t>
  </si>
  <si>
    <t>卖价</t>
  </si>
  <si>
    <t>佣金</t>
  </si>
  <si>
    <t>2560562720765590</t>
  </si>
  <si>
    <t>2561208693958237</t>
  </si>
  <si>
    <t>2558052416606305</t>
  </si>
  <si>
    <t>817865590017</t>
  </si>
  <si>
    <t>姓名/描述</t>
  </si>
  <si>
    <t>公/社</t>
  </si>
  <si>
    <t>2607110039</t>
  </si>
  <si>
    <t>服务费</t>
  </si>
  <si>
    <t>分账金额</t>
  </si>
  <si>
    <t>3312222999039016781</t>
  </si>
  <si>
    <t>5124525048350007230</t>
  </si>
  <si>
    <t>3312864590093014877</t>
  </si>
  <si>
    <t>3313287445818014492</t>
  </si>
  <si>
    <t>3312409586635026490</t>
  </si>
  <si>
    <t>5123940482482043301</t>
  </si>
  <si>
    <t>5124554496267004208</t>
  </si>
  <si>
    <t>3312215366812318878</t>
  </si>
  <si>
    <t>5125084921721045410</t>
  </si>
  <si>
    <t>3312177098783174850</t>
  </si>
  <si>
    <t>5124386486050133035</t>
  </si>
  <si>
    <t>5124498696481006746</t>
  </si>
  <si>
    <t>5124283131394003609</t>
  </si>
  <si>
    <t>5124371006438013443</t>
  </si>
  <si>
    <t>3312152006548001476</t>
  </si>
  <si>
    <t>套餐订单号</t>
  </si>
  <si>
    <t>日历房订单号</t>
  </si>
  <si>
    <t>佣金
（服务费+里程费用+基础软件服务费）</t>
  </si>
  <si>
    <t>分账总金额</t>
  </si>
  <si>
    <t>3303053223628038882</t>
  </si>
  <si>
    <t>3312636206367002055</t>
  </si>
  <si>
    <t>1631.50</t>
  </si>
  <si>
    <t>券码</t>
  </si>
  <si>
    <t>各类服务费率基数（=订单实收-代商家出资补贴-平台补贴（不参与抽佣））</t>
  </si>
  <si>
    <t>软件服务费费率</t>
  </si>
  <si>
    <t>达人佣金比例</t>
  </si>
  <si>
    <t>服务商佣金</t>
  </si>
  <si>
    <t>服务商佣金比例</t>
  </si>
  <si>
    <t>服务商名称</t>
  </si>
  <si>
    <t>职人激励佣金</t>
  </si>
  <si>
    <t>1113321043137305229</t>
  </si>
  <si>
    <t>10.00%</t>
  </si>
  <si>
    <t>湖州全都来了网络科技有限公司</t>
  </si>
  <si>
    <t>1113149746488985282</t>
  </si>
  <si>
    <t>6.00%</t>
  </si>
  <si>
    <t>1113387654177305229</t>
  </si>
  <si>
    <t>1113295146003860653</t>
  </si>
  <si>
    <t>0.00%</t>
  </si>
  <si>
    <t>-</t>
  </si>
  <si>
    <t>1112762128909466071</t>
  </si>
  <si>
    <t>1112830851022104278</t>
  </si>
  <si>
    <t>1113103643685784384</t>
  </si>
  <si>
    <t>1113496761987224921</t>
  </si>
  <si>
    <t>1113055368499221128</t>
  </si>
  <si>
    <t>1113466212889623928</t>
  </si>
  <si>
    <t>1113122519291546468</t>
  </si>
  <si>
    <t>1113596402146581623</t>
  </si>
  <si>
    <t>4.00%</t>
  </si>
  <si>
    <t>1113325226320024384</t>
  </si>
  <si>
    <t>1112824555320984278</t>
  </si>
  <si>
    <t>1113463676227224921</t>
  </si>
  <si>
    <t>1113289085978901128</t>
  </si>
  <si>
    <t>1113149729632665282</t>
  </si>
  <si>
    <t>1112762323132186071</t>
  </si>
  <si>
    <t>1112619818931226468</t>
  </si>
  <si>
    <t>1113321000312985229</t>
  </si>
  <si>
    <t>1112758763784343928</t>
  </si>
  <si>
    <t>1113321034795545229</t>
  </si>
  <si>
    <t>1095311065506581623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</si>
</sst>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等线"/>
      <charset val="134"/>
      <scheme val="minor"/>
    </font>
    <font>
      <sz val="11"/>
      <name val="Arial"/>
      <charset val="134"/>
    </font>
    <font>
      <sz val="10"/>
      <name val="Arial"/>
      <charset val="134"/>
    </font>
    <font>
      <sz val="11"/>
      <color indexed="8"/>
      <name val="等线"/>
      <charset val="134"/>
      <scheme val="minor"/>
    </font>
    <font>
      <b/>
      <sz val="12"/>
      <name val="黑体"/>
      <charset val="134"/>
    </font>
    <font>
      <sz val="10"/>
      <name val="宋体"/>
      <charset val="134"/>
    </font>
    <font>
      <sz val="12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indexed="8"/>
      <name val="等线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12"/>
      <color theme="1"/>
      <name val="等线"/>
      <charset val="134"/>
      <scheme val="minor"/>
    </font>
    <font>
      <sz val="11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宋体"/>
      <charset val="134"/>
    </font>
    <font>
      <sz val="9"/>
      <color indexed="8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CFFB0"/>
        <bgColor indexed="64"/>
      </patternFill>
    </fill>
    <fill>
      <patternFill patternType="solid">
        <fgColor rgb="FFC5D2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6" applyNumberFormat="0" applyAlignment="0" applyProtection="0">
      <alignment vertical="center"/>
    </xf>
    <xf numFmtId="0" fontId="26" fillId="9" borderId="7" applyNumberFormat="0" applyAlignment="0" applyProtection="0">
      <alignment vertical="center"/>
    </xf>
    <xf numFmtId="0" fontId="27" fillId="9" borderId="6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42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Fill="1"/>
    <xf numFmtId="0" fontId="1" fillId="0" borderId="0" xfId="0" applyFont="1" applyAlignment="1">
      <alignment horizontal="center" vertical="center"/>
    </xf>
    <xf numFmtId="43" fontId="2" fillId="0" borderId="0" xfId="1" applyFont="1" applyAlignment="1">
      <alignment horizontal="center"/>
    </xf>
    <xf numFmtId="0" fontId="3" fillId="0" borderId="0" xfId="49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0" fontId="4" fillId="4" borderId="1" xfId="49" applyFont="1" applyFill="1" applyBorder="1" applyAlignment="1">
      <alignment horizontal="center" vertical="center" wrapText="1"/>
    </xf>
    <xf numFmtId="0" fontId="4" fillId="4" borderId="1" xfId="49" applyFont="1" applyFill="1" applyBorder="1" applyAlignment="1">
      <alignment horizontal="center" vertical="center"/>
    </xf>
    <xf numFmtId="0" fontId="4" fillId="5" borderId="1" xfId="49" applyFont="1" applyFill="1" applyBorder="1" applyAlignment="1">
      <alignment horizontal="center" vertical="center"/>
    </xf>
    <xf numFmtId="0" fontId="3" fillId="0" borderId="0" xfId="49">
      <alignment vertical="center"/>
    </xf>
    <xf numFmtId="0" fontId="0" fillId="0" borderId="0" xfId="0" applyAlignment="1">
      <alignment vertical="center"/>
    </xf>
    <xf numFmtId="0" fontId="5" fillId="0" borderId="1" xfId="0" applyNumberFormat="1" applyFont="1" applyFill="1" applyBorder="1" applyAlignment="1">
      <alignment horizontal="center"/>
    </xf>
    <xf numFmtId="0" fontId="5" fillId="0" borderId="1" xfId="0" applyNumberFormat="1" applyFont="1" applyBorder="1" applyAlignment="1">
      <alignment horizontal="center"/>
    </xf>
    <xf numFmtId="0" fontId="0" fillId="0" borderId="0" xfId="0" applyNumberFormat="1"/>
    <xf numFmtId="0" fontId="6" fillId="0" borderId="0" xfId="0" applyNumberFormat="1" applyFont="1" applyFill="1"/>
    <xf numFmtId="0" fontId="7" fillId="0" borderId="0" xfId="0" applyFont="1"/>
    <xf numFmtId="0" fontId="0" fillId="0" borderId="0" xfId="0" applyFill="1"/>
    <xf numFmtId="0" fontId="7" fillId="0" borderId="0" xfId="0" applyFont="1" applyFill="1"/>
    <xf numFmtId="43" fontId="0" fillId="0" borderId="0" xfId="1" applyFont="1" applyAlignment="1"/>
    <xf numFmtId="0" fontId="8" fillId="0" borderId="0" xfId="0" applyFont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4" fontId="11" fillId="0" borderId="2" xfId="0" applyNumberFormat="1" applyFont="1" applyBorder="1" applyAlignment="1">
      <alignment horizontal="center" vertical="center"/>
    </xf>
    <xf numFmtId="4" fontId="10" fillId="0" borderId="2" xfId="0" applyNumberFormat="1" applyFont="1" applyBorder="1" applyAlignment="1">
      <alignment horizontal="center" vertical="center"/>
    </xf>
    <xf numFmtId="4" fontId="11" fillId="0" borderId="2" xfId="0" applyNumberFormat="1" applyFont="1" applyFill="1" applyBorder="1" applyAlignment="1">
      <alignment horizontal="center" vertical="center"/>
    </xf>
    <xf numFmtId="4" fontId="8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  <xf numFmtId="0" fontId="12" fillId="0" borderId="0" xfId="0" applyFont="1" applyAlignment="1">
      <alignment vertical="center"/>
    </xf>
    <xf numFmtId="4" fontId="13" fillId="4" borderId="0" xfId="0" applyNumberFormat="1" applyFont="1" applyFill="1" applyAlignment="1">
      <alignment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NumberFormat="1" applyFont="1" applyAlignment="1">
      <alignment horizontal="center" vertical="center"/>
    </xf>
    <xf numFmtId="0" fontId="0" fillId="5" borderId="0" xfId="0" applyFill="1"/>
    <xf numFmtId="0" fontId="15" fillId="0" borderId="0" xfId="0" applyFont="1" applyAlignment="1" quotePrefix="1">
      <alignment horizontal="center" vertical="center"/>
    </xf>
    <xf numFmtId="0" fontId="5" fillId="0" borderId="1" xfId="0" applyNumberFormat="1" applyFont="1" applyFill="1" applyBorder="1" applyAlignment="1" quotePrefix="1">
      <alignment horizontal="center"/>
    </xf>
    <xf numFmtId="0" fontId="0" fillId="0" borderId="0" xfId="0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2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inance\IA\AR\City%20Ledger%20&#23545;&#36134;\TAL%20&#23545;&#36134;&#21333;\&#25658;&#31243;&#23458;&#25151;%20260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inance\IA\AR\City%20Ledger%20&#23545;&#36134;\TAL%20&#23545;&#36134;&#21333;\TAL0051%20&#39134;&#29482;&#21516;&#27966;TP&#65288;&#25903;&#20184;&#23453;&#25552;&#29616;&#65289;260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8.18-8.24"/>
      <sheetName val="8.18-8.24rezen"/>
      <sheetName val="8.25-8.31"/>
      <sheetName val="8.25-8.31rezen"/>
      <sheetName val="9.1-9.7"/>
      <sheetName val="9.1-9.7rezen"/>
      <sheetName val="9.8-9.14"/>
      <sheetName val="9.8-9.14rezen"/>
      <sheetName val="9.15-9.21"/>
      <sheetName val="9.15-9.21rezen"/>
      <sheetName val="9.22-9.28"/>
      <sheetName val="9.22-9.28rezen"/>
      <sheetName val="9.29-10.5"/>
      <sheetName val="9.29-10.5rezen"/>
      <sheetName val="10.6-10.12"/>
      <sheetName val="10.6-10.12rezen"/>
      <sheetName val="10.13-10.19"/>
      <sheetName val="10.13-10.19rezen"/>
      <sheetName val="10.20-10.26"/>
      <sheetName val="10.20-10.26rezen"/>
      <sheetName val="10.27-11.2"/>
      <sheetName val="10.27-11.2rezen"/>
      <sheetName val="11.3-11.9"/>
      <sheetName val="11.3-11.9rezen"/>
      <sheetName val="11.10-11.16"/>
      <sheetName val="11.10-11.16rezen"/>
      <sheetName val="11.17-11.23"/>
      <sheetName val="11.17-11.23rezen"/>
      <sheetName val="11.24-11.30"/>
      <sheetName val="11.24-11.30rezen"/>
      <sheetName val="12.1-12.7"/>
      <sheetName val="12.1-12.7rezen"/>
      <sheetName val="12.8-12.14"/>
      <sheetName val="12.8-12.14rezen"/>
      <sheetName val="12.15-12.21"/>
      <sheetName val="12.15-12.21rezen"/>
      <sheetName val="12.22-12.28"/>
      <sheetName val="12.22-12.28rezen"/>
      <sheetName val="12.29-1.4"/>
      <sheetName val="12.29-1.4rezen"/>
      <sheetName val="1.5-1.11"/>
      <sheetName val="1.5-1.11rezen"/>
      <sheetName val="1.12-1.18"/>
      <sheetName val="1.12-1.18rezen"/>
      <sheetName val="1.19-1.25"/>
      <sheetName val="1.19-1.25rezen"/>
      <sheetName val="1.26-2.1"/>
      <sheetName val="1.26-2.1rezen"/>
      <sheetName val="2.2-2.8"/>
      <sheetName val="2.2-2.8rezen"/>
      <sheetName val="2.9-2.15"/>
      <sheetName val="2.9-2.15rezen"/>
      <sheetName val="2.16-2.22"/>
      <sheetName val="2.16-2.22rezen"/>
      <sheetName val="2.23-3.1"/>
      <sheetName val="2.23-3.1rezen"/>
      <sheetName val="3.2-3.8"/>
      <sheetName val="3.2-3.8rezen"/>
      <sheetName val="3.9-3.15"/>
      <sheetName val="3.9-3.15rezen"/>
      <sheetName val="3.16-3.22"/>
      <sheetName val="3.16-3.22rezen"/>
      <sheetName val="3.23-3.29（携程）"/>
      <sheetName val="3.23-3.29rezen"/>
      <sheetName val="3.30-4.5"/>
      <sheetName val="3.30-4.5（rezen）"/>
      <sheetName val="4.6-4.12"/>
      <sheetName val="4.6-4.12（rezen）"/>
      <sheetName val="4.13-4.19"/>
      <sheetName val="4.13-4.19（rezen）"/>
      <sheetName val="4.20-4.26"/>
      <sheetName val="4.20-4.26rezen"/>
      <sheetName val="4.27-5.3"/>
      <sheetName val="4.27-5.3rezen"/>
      <sheetName val="5.4-5.10"/>
      <sheetName val="5.4-5.10rezen"/>
      <sheetName val="5.11-5.17"/>
      <sheetName val="5.11-5.17rezen"/>
      <sheetName val="5.18-5.24"/>
      <sheetName val="5.18-5.24rezen"/>
      <sheetName val="5.25-5.31"/>
      <sheetName val="5.25-5.31rezen"/>
      <sheetName val="6.1-6.7"/>
      <sheetName val="6.1-6.7rezen"/>
      <sheetName val="6.8-6.14"/>
      <sheetName val="6.8-6.14rezen"/>
      <sheetName val="6.15-6.21"/>
      <sheetName val="6.15-6.21rezen"/>
      <sheetName val="6.22-6.28"/>
      <sheetName val="6.22-6.28rezen"/>
      <sheetName val="6.29-7.5"/>
      <sheetName val="6.29-7.5rezen"/>
      <sheetName val="7.6-7.12"/>
      <sheetName val="7.6-7.12rezen"/>
      <sheetName val="7.13-7.19"/>
      <sheetName val="7.13-7.19rez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250">
          <cell r="H250">
            <v>449224.56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ZEN ONE "/>
      <sheetName val="日历房"/>
      <sheetName val="在线预约"/>
      <sheetName val="餐厅"/>
      <sheetName val="支付宝"/>
      <sheetName val="飞猪日历房0630"/>
      <sheetName val="飞猪在线预约0630"/>
    </sheetNames>
    <sheetDataSet>
      <sheetData sheetId="0"/>
      <sheetData sheetId="1">
        <row r="123">
          <cell r="A123" t="str">
            <v>3312222999039016781</v>
          </cell>
          <cell r="B123" t="str">
            <v>林子钛</v>
          </cell>
        </row>
        <row r="123">
          <cell r="D123" t="str">
            <v>2026-07-16</v>
          </cell>
          <cell r="E123" t="str">
            <v>2026-07-18</v>
          </cell>
          <cell r="F123" t="str">
            <v>2</v>
          </cell>
          <cell r="G123" t="str">
            <v>2978.00</v>
          </cell>
          <cell r="H123" t="str">
            <v>-</v>
          </cell>
          <cell r="I123" t="str">
            <v>0.00</v>
          </cell>
          <cell r="J123" t="str">
            <v>-</v>
          </cell>
          <cell r="K123" t="str">
            <v>0.00</v>
          </cell>
          <cell r="L123">
            <v>464.57</v>
          </cell>
          <cell r="M123">
            <v>2978</v>
          </cell>
          <cell r="N123" t="str">
            <v>新世界同派酒店集团旗舰店</v>
          </cell>
          <cell r="O123" t="str">
            <v>599194059240</v>
          </cell>
          <cell r="P123" t="str">
            <v>清远新世界酒店</v>
          </cell>
          <cell r="Q123" t="str">
            <v>RSW10059</v>
          </cell>
          <cell r="R123" t="str">
            <v>至尊大床房-含早</v>
          </cell>
          <cell r="S123" t="str">
            <v>RSW10059_PRK</v>
          </cell>
        </row>
        <row r="123">
          <cell r="U123" t="str">
            <v>122813</v>
          </cell>
          <cell r="V123" t="str">
            <v>预付</v>
          </cell>
          <cell r="W123" t="str">
            <v>2026-07-14</v>
          </cell>
        </row>
        <row r="123">
          <cell r="Y123" t="str">
            <v>已分账</v>
          </cell>
          <cell r="Z123" t="str">
            <v>支付宝分账</v>
          </cell>
        </row>
        <row r="123">
          <cell r="AC123" t="str">
            <v>2026-07-21</v>
          </cell>
          <cell r="AD123" t="str">
            <v>2026-07-21</v>
          </cell>
          <cell r="AE123" t="str">
            <v>easy.chen@newworldhotels.com</v>
          </cell>
          <cell r="AF123" t="str">
            <v>0.00</v>
          </cell>
          <cell r="AG123" t="str">
            <v>售价</v>
          </cell>
          <cell r="AH123" t="str">
            <v>酒店开票</v>
          </cell>
          <cell r="AI123" t="str">
            <v>里程抵房费营销支出5%:148.90</v>
          </cell>
          <cell r="AJ123" t="str">
            <v>0.00</v>
          </cell>
          <cell r="AK123" t="str">
            <v/>
          </cell>
        </row>
        <row r="124">
          <cell r="A124" t="str">
            <v>5124525048350007230</v>
          </cell>
          <cell r="B124" t="str">
            <v>陈嘉慧</v>
          </cell>
        </row>
        <row r="124">
          <cell r="D124" t="str">
            <v>2026-07-17</v>
          </cell>
          <cell r="E124" t="str">
            <v>2026-07-18</v>
          </cell>
          <cell r="F124" t="str">
            <v>1</v>
          </cell>
          <cell r="G124" t="str">
            <v>1302.00</v>
          </cell>
          <cell r="H124" t="str">
            <v>-</v>
          </cell>
          <cell r="I124" t="str">
            <v>0.00</v>
          </cell>
          <cell r="J124" t="str">
            <v>-</v>
          </cell>
          <cell r="K124" t="str">
            <v>0.00</v>
          </cell>
          <cell r="L124">
            <v>268.21</v>
          </cell>
          <cell r="M124">
            <v>1302</v>
          </cell>
          <cell r="N124" t="str">
            <v>新世界同派酒店集团旗舰店</v>
          </cell>
          <cell r="O124" t="str">
            <v>599194059240</v>
          </cell>
          <cell r="P124" t="str">
            <v>清远新世界酒店</v>
          </cell>
          <cell r="Q124" t="str">
            <v>RSW10059</v>
          </cell>
          <cell r="R124" t="str">
            <v>豪华大床房-含早</v>
          </cell>
          <cell r="S124" t="str">
            <v>RSW10059_DXK</v>
          </cell>
        </row>
        <row r="124">
          <cell r="U124" t="str">
            <v>122983</v>
          </cell>
          <cell r="V124" t="str">
            <v>预付</v>
          </cell>
          <cell r="W124" t="str">
            <v>2026-07-15</v>
          </cell>
        </row>
        <row r="124">
          <cell r="Y124" t="str">
            <v>已分账</v>
          </cell>
          <cell r="Z124" t="str">
            <v>支付宝分账</v>
          </cell>
        </row>
        <row r="124">
          <cell r="AC124" t="str">
            <v>2026-07-21</v>
          </cell>
          <cell r="AD124" t="str">
            <v>2026-07-21</v>
          </cell>
          <cell r="AE124" t="str">
            <v>easy.chen@newworldhotels.com</v>
          </cell>
          <cell r="AF124" t="str">
            <v>704.00</v>
          </cell>
          <cell r="AG124" t="str">
            <v>售价</v>
          </cell>
          <cell r="AH124" t="str">
            <v>酒店开票</v>
          </cell>
          <cell r="AI124" t="str">
            <v>里程抵房费营销支出5%:65.10;全网推推广费:65.10</v>
          </cell>
          <cell r="AJ124" t="str">
            <v>0.00</v>
          </cell>
          <cell r="AK124" t="str">
            <v/>
          </cell>
        </row>
        <row r="125">
          <cell r="A125" t="str">
            <v>3312864590093014877</v>
          </cell>
          <cell r="B125" t="str">
            <v>陈悦</v>
          </cell>
        </row>
        <row r="125">
          <cell r="D125" t="str">
            <v>2026-07-20</v>
          </cell>
          <cell r="E125" t="str">
            <v>2026-07-21</v>
          </cell>
          <cell r="F125" t="str">
            <v>1</v>
          </cell>
          <cell r="G125" t="str">
            <v>1488.00</v>
          </cell>
          <cell r="H125" t="str">
            <v>-</v>
          </cell>
          <cell r="I125" t="str">
            <v>0.00</v>
          </cell>
          <cell r="J125" t="str">
            <v>-</v>
          </cell>
          <cell r="K125" t="str">
            <v>0.00</v>
          </cell>
          <cell r="L125">
            <v>306.53</v>
          </cell>
          <cell r="M125">
            <v>1488</v>
          </cell>
          <cell r="N125" t="str">
            <v>新世界同派酒店集团旗舰店</v>
          </cell>
          <cell r="O125" t="str">
            <v>599194059240</v>
          </cell>
          <cell r="P125" t="str">
            <v>清远新世界酒店</v>
          </cell>
          <cell r="Q125" t="str">
            <v>RSW10059</v>
          </cell>
          <cell r="R125" t="str">
            <v>豪华大床房-含早</v>
          </cell>
          <cell r="S125" t="str">
            <v>RSW10059_DXK</v>
          </cell>
        </row>
        <row r="125">
          <cell r="U125" t="str">
            <v>123812</v>
          </cell>
          <cell r="V125" t="str">
            <v>信用住</v>
          </cell>
          <cell r="W125" t="str">
            <v>2026-07-18</v>
          </cell>
        </row>
        <row r="125">
          <cell r="Y125" t="str">
            <v>已分账</v>
          </cell>
          <cell r="Z125" t="str">
            <v>支付宝分账</v>
          </cell>
        </row>
        <row r="125">
          <cell r="AC125" t="str">
            <v>2026-07-21</v>
          </cell>
          <cell r="AD125" t="str">
            <v>2026-07-21</v>
          </cell>
          <cell r="AE125" t="str">
            <v>easy.chen@newworldhotels.com</v>
          </cell>
          <cell r="AF125" t="str">
            <v>0.00</v>
          </cell>
          <cell r="AG125" t="str">
            <v>售价</v>
          </cell>
          <cell r="AH125" t="str">
            <v>酒店开票</v>
          </cell>
          <cell r="AI125" t="str">
            <v>里程抵房费营销支出5%:74.40;全网推推广费:74.40</v>
          </cell>
          <cell r="AJ125" t="str">
            <v>0.00</v>
          </cell>
          <cell r="AK125" t="str">
            <v/>
          </cell>
        </row>
        <row r="126">
          <cell r="A126" t="str">
            <v>3313287445818014492</v>
          </cell>
          <cell r="B126" t="str">
            <v>陆子浩</v>
          </cell>
        </row>
        <row r="126">
          <cell r="D126" t="str">
            <v>2026-07-20</v>
          </cell>
          <cell r="E126" t="str">
            <v>2026-07-21</v>
          </cell>
          <cell r="F126" t="str">
            <v>1</v>
          </cell>
          <cell r="G126" t="str">
            <v>1000.00</v>
          </cell>
          <cell r="H126" t="str">
            <v>-</v>
          </cell>
          <cell r="I126" t="str">
            <v>0.00</v>
          </cell>
          <cell r="J126" t="str">
            <v>-</v>
          </cell>
          <cell r="K126" t="str">
            <v>0.00</v>
          </cell>
          <cell r="L126">
            <v>206</v>
          </cell>
          <cell r="M126">
            <v>1000</v>
          </cell>
          <cell r="N126" t="str">
            <v>新世界同派酒店集团旗舰店</v>
          </cell>
          <cell r="O126" t="str">
            <v>599194059240</v>
          </cell>
          <cell r="P126" t="str">
            <v>清远新世界酒店</v>
          </cell>
          <cell r="Q126" t="str">
            <v>RSW10059</v>
          </cell>
          <cell r="R126" t="str">
            <v>豪华大床房-无早</v>
          </cell>
          <cell r="S126" t="str">
            <v>RSW10059_DXK</v>
          </cell>
        </row>
        <row r="126">
          <cell r="U126" t="str">
            <v>123804</v>
          </cell>
          <cell r="V126" t="str">
            <v>信用住</v>
          </cell>
          <cell r="W126" t="str">
            <v>2026-07-18</v>
          </cell>
        </row>
        <row r="126">
          <cell r="Y126" t="str">
            <v>已分账</v>
          </cell>
          <cell r="Z126" t="str">
            <v>支付宝分账</v>
          </cell>
        </row>
        <row r="126">
          <cell r="AC126" t="str">
            <v>2026-07-21</v>
          </cell>
          <cell r="AD126" t="str">
            <v>2026-07-21</v>
          </cell>
          <cell r="AE126" t="str">
            <v>easy.chen@newworldhotels.com</v>
          </cell>
          <cell r="AF126" t="str">
            <v>0.00</v>
          </cell>
          <cell r="AG126" t="str">
            <v>售价</v>
          </cell>
          <cell r="AH126" t="str">
            <v>酒店开票</v>
          </cell>
          <cell r="AI126" t="str">
            <v>里程抵房费营销支出5%:50.00;全网推推广费:50.00</v>
          </cell>
          <cell r="AJ126" t="str">
            <v>0.00</v>
          </cell>
          <cell r="AK126" t="str">
            <v/>
          </cell>
        </row>
        <row r="127">
          <cell r="A127" t="str">
            <v>3312409586635026490</v>
          </cell>
          <cell r="B127" t="str">
            <v>庄仕元</v>
          </cell>
        </row>
        <row r="127">
          <cell r="D127" t="str">
            <v>2026-07-17</v>
          </cell>
          <cell r="E127" t="str">
            <v>2026-07-18</v>
          </cell>
          <cell r="F127" t="str">
            <v>1</v>
          </cell>
          <cell r="G127" t="str">
            <v>1302.00</v>
          </cell>
          <cell r="H127" t="str">
            <v>-</v>
          </cell>
          <cell r="I127" t="str">
            <v>0.00</v>
          </cell>
          <cell r="J127" t="str">
            <v>-</v>
          </cell>
          <cell r="K127" t="str">
            <v>0.00</v>
          </cell>
          <cell r="L127">
            <v>268.21</v>
          </cell>
          <cell r="M127">
            <v>1302</v>
          </cell>
          <cell r="N127" t="str">
            <v>新世界同派酒店集团旗舰店</v>
          </cell>
          <cell r="O127" t="str">
            <v>599194059240</v>
          </cell>
          <cell r="P127" t="str">
            <v>清远新世界酒店</v>
          </cell>
          <cell r="Q127" t="str">
            <v>RSW10059</v>
          </cell>
          <cell r="R127" t="str">
            <v>豪华双床房-含早</v>
          </cell>
          <cell r="S127" t="str">
            <v>DTR</v>
          </cell>
        </row>
        <row r="127">
          <cell r="U127" t="str">
            <v>122939</v>
          </cell>
          <cell r="V127" t="str">
            <v>预付</v>
          </cell>
          <cell r="W127" t="str">
            <v>2026-07-15</v>
          </cell>
        </row>
        <row r="127">
          <cell r="Y127" t="str">
            <v>已分账</v>
          </cell>
          <cell r="Z127" t="str">
            <v>支付宝分账</v>
          </cell>
        </row>
        <row r="127">
          <cell r="AC127" t="str">
            <v>2026-07-21</v>
          </cell>
          <cell r="AD127" t="str">
            <v>2026-07-21</v>
          </cell>
          <cell r="AE127" t="str">
            <v>easy.chen@newworldhotels.com</v>
          </cell>
          <cell r="AF127" t="str">
            <v>704.00</v>
          </cell>
          <cell r="AG127" t="str">
            <v>售价</v>
          </cell>
          <cell r="AH127" t="str">
            <v>酒店开票</v>
          </cell>
          <cell r="AI127" t="str">
            <v>里程抵房费营销支出5%:65.10;全网推推广费:65.10</v>
          </cell>
          <cell r="AJ127" t="str">
            <v>0.00</v>
          </cell>
          <cell r="AK127" t="str">
            <v/>
          </cell>
        </row>
        <row r="128">
          <cell r="A128" t="str">
            <v>5123940482482043301</v>
          </cell>
          <cell r="B128" t="str">
            <v>沈妙雪</v>
          </cell>
        </row>
        <row r="128">
          <cell r="D128" t="str">
            <v>2026-07-17</v>
          </cell>
          <cell r="E128" t="str">
            <v>2026-07-18</v>
          </cell>
          <cell r="F128" t="str">
            <v>1</v>
          </cell>
          <cell r="G128" t="str">
            <v>1517.00</v>
          </cell>
          <cell r="H128" t="str">
            <v>-</v>
          </cell>
          <cell r="I128" t="str">
            <v>0.00</v>
          </cell>
          <cell r="J128" t="str">
            <v>-</v>
          </cell>
          <cell r="K128" t="str">
            <v>0.00</v>
          </cell>
          <cell r="L128">
            <v>312.51</v>
          </cell>
          <cell r="M128">
            <v>1517</v>
          </cell>
          <cell r="N128" t="str">
            <v>新世界同派酒店集团旗舰店</v>
          </cell>
          <cell r="O128" t="str">
            <v>599194059240</v>
          </cell>
          <cell r="P128" t="str">
            <v>清远新世界酒店</v>
          </cell>
          <cell r="Q128" t="str">
            <v>RSW10059</v>
          </cell>
          <cell r="R128" t="str">
            <v>豪华亲子双床房-含早</v>
          </cell>
          <cell r="S128" t="str">
            <v>HHQZS</v>
          </cell>
        </row>
        <row r="128">
          <cell r="U128" t="str">
            <v>122603</v>
          </cell>
          <cell r="V128" t="str">
            <v>预付</v>
          </cell>
          <cell r="W128" t="str">
            <v>2026-07-14</v>
          </cell>
        </row>
        <row r="128">
          <cell r="Y128" t="str">
            <v>已分账</v>
          </cell>
          <cell r="Z128" t="str">
            <v>支付宝分账</v>
          </cell>
        </row>
        <row r="128">
          <cell r="AC128" t="str">
            <v>2026-07-21</v>
          </cell>
          <cell r="AD128" t="str">
            <v>2026-07-21</v>
          </cell>
          <cell r="AE128" t="str">
            <v>easy.chen@newworldhotels.com</v>
          </cell>
          <cell r="AF128" t="str">
            <v>1014.00</v>
          </cell>
          <cell r="AG128" t="str">
            <v>售价</v>
          </cell>
          <cell r="AH128" t="str">
            <v>酒店开票</v>
          </cell>
          <cell r="AI128" t="str">
            <v>里程抵房费营销支出5%:75.85;全网推推广费:75.85</v>
          </cell>
          <cell r="AJ128" t="str">
            <v>0.00</v>
          </cell>
          <cell r="AK128" t="str">
            <v/>
          </cell>
        </row>
        <row r="129">
          <cell r="A129" t="str">
            <v>5124554496267004208</v>
          </cell>
          <cell r="B129" t="str">
            <v>黄勃</v>
          </cell>
        </row>
        <row r="129">
          <cell r="D129" t="str">
            <v>2026-07-17</v>
          </cell>
          <cell r="E129" t="str">
            <v>2026-07-18</v>
          </cell>
          <cell r="F129" t="str">
            <v>1</v>
          </cell>
          <cell r="G129" t="str">
            <v>1303.00</v>
          </cell>
          <cell r="H129" t="str">
            <v>-</v>
          </cell>
          <cell r="I129" t="str">
            <v>0.00</v>
          </cell>
          <cell r="J129" t="str">
            <v>-</v>
          </cell>
          <cell r="K129" t="str">
            <v>0.00</v>
          </cell>
          <cell r="L129">
            <v>203.28</v>
          </cell>
          <cell r="M129">
            <v>1303</v>
          </cell>
          <cell r="N129" t="str">
            <v>新世界同派酒店集团旗舰店</v>
          </cell>
          <cell r="O129" t="str">
            <v>599194059240</v>
          </cell>
          <cell r="P129" t="str">
            <v>清远新世界酒店</v>
          </cell>
          <cell r="Q129" t="str">
            <v>RSW10059</v>
          </cell>
          <cell r="R129" t="str">
            <v>豪华大床房-含早</v>
          </cell>
          <cell r="S129" t="str">
            <v>RSW10059_DXK</v>
          </cell>
        </row>
        <row r="129">
          <cell r="U129" t="str">
            <v>123052</v>
          </cell>
          <cell r="V129" t="str">
            <v>预付</v>
          </cell>
          <cell r="W129" t="str">
            <v>2026-07-16</v>
          </cell>
        </row>
        <row r="129">
          <cell r="Y129" t="str">
            <v>已分账</v>
          </cell>
          <cell r="Z129" t="str">
            <v>支付宝分账</v>
          </cell>
        </row>
        <row r="129">
          <cell r="AC129" t="str">
            <v>2026-07-21</v>
          </cell>
          <cell r="AD129" t="str">
            <v>2026-07-21</v>
          </cell>
          <cell r="AE129" t="str">
            <v>easy.chen@newworldhotels.com</v>
          </cell>
          <cell r="AF129" t="str">
            <v>703.00</v>
          </cell>
          <cell r="AG129" t="str">
            <v>售价</v>
          </cell>
          <cell r="AH129" t="str">
            <v>酒店开票</v>
          </cell>
          <cell r="AI129" t="str">
            <v>里程抵房费营销支出5%:65.15</v>
          </cell>
          <cell r="AJ129" t="str">
            <v>0.00</v>
          </cell>
          <cell r="AK129" t="str">
            <v/>
          </cell>
        </row>
        <row r="130">
          <cell r="A130" t="str">
            <v>3312215366812318878</v>
          </cell>
          <cell r="B130" t="str">
            <v>陈拥军</v>
          </cell>
        </row>
        <row r="130">
          <cell r="D130" t="str">
            <v>2026-07-16</v>
          </cell>
          <cell r="E130" t="str">
            <v>2026-07-17</v>
          </cell>
          <cell r="F130" t="str">
            <v>1</v>
          </cell>
          <cell r="G130" t="str">
            <v>1265.00</v>
          </cell>
          <cell r="H130" t="str">
            <v>-</v>
          </cell>
          <cell r="I130" t="str">
            <v>0.00</v>
          </cell>
          <cell r="J130" t="str">
            <v>-</v>
          </cell>
          <cell r="K130" t="str">
            <v>0.00</v>
          </cell>
          <cell r="L130">
            <v>134.1</v>
          </cell>
          <cell r="M130">
            <v>1265</v>
          </cell>
          <cell r="N130" t="str">
            <v>新世界同派酒店集团旗舰店</v>
          </cell>
          <cell r="O130" t="str">
            <v>599194059240</v>
          </cell>
          <cell r="P130" t="str">
            <v>清远新世界酒店</v>
          </cell>
          <cell r="Q130" t="str">
            <v>RSW10059</v>
          </cell>
          <cell r="R130" t="str">
            <v>豪华庭院大床房-含早</v>
          </cell>
          <cell r="S130" t="str">
            <v>RSW10059_DCK</v>
          </cell>
        </row>
        <row r="130">
          <cell r="U130" t="str">
            <v>122792</v>
          </cell>
          <cell r="V130" t="str">
            <v>预付</v>
          </cell>
          <cell r="W130" t="str">
            <v>2026-07-14</v>
          </cell>
        </row>
        <row r="130">
          <cell r="Y130" t="str">
            <v>已分账</v>
          </cell>
          <cell r="Z130" t="str">
            <v>支付宝分账</v>
          </cell>
        </row>
        <row r="130">
          <cell r="AC130" t="str">
            <v>2026-07-20</v>
          </cell>
          <cell r="AD130" t="str">
            <v>2026-07-20</v>
          </cell>
          <cell r="AE130" t="str">
            <v>easy.chen@newworldhotels.com</v>
          </cell>
          <cell r="AF130" t="str">
            <v>683.00</v>
          </cell>
          <cell r="AG130" t="str">
            <v>售价</v>
          </cell>
          <cell r="AH130" t="str">
            <v>酒店开票</v>
          </cell>
          <cell r="AI130" t="str">
            <v/>
          </cell>
          <cell r="AJ130" t="str">
            <v>0.00</v>
          </cell>
          <cell r="AK130" t="str">
            <v/>
          </cell>
        </row>
        <row r="131">
          <cell r="A131" t="str">
            <v>5125084921721045410</v>
          </cell>
          <cell r="B131" t="str">
            <v>黄家健</v>
          </cell>
        </row>
        <row r="131">
          <cell r="D131" t="str">
            <v>2026-07-19</v>
          </cell>
          <cell r="E131" t="str">
            <v>2026-07-20</v>
          </cell>
          <cell r="F131" t="str">
            <v>1</v>
          </cell>
          <cell r="G131" t="str">
            <v>1199.00</v>
          </cell>
          <cell r="H131" t="str">
            <v>-</v>
          </cell>
          <cell r="I131" t="str">
            <v>0.00</v>
          </cell>
          <cell r="J131" t="str">
            <v>-</v>
          </cell>
          <cell r="K131" t="str">
            <v>0.00</v>
          </cell>
          <cell r="L131">
            <v>247</v>
          </cell>
          <cell r="M131">
            <v>1199</v>
          </cell>
          <cell r="N131" t="str">
            <v>新世界同派酒店集团旗舰店</v>
          </cell>
          <cell r="O131" t="str">
            <v>599194059240</v>
          </cell>
          <cell r="P131" t="str">
            <v>清远新世界酒店</v>
          </cell>
          <cell r="Q131" t="str">
            <v>RSW10059</v>
          </cell>
          <cell r="R131" t="str">
            <v>豪华大床房-含早</v>
          </cell>
          <cell r="S131" t="str">
            <v>RSW10059_DXK</v>
          </cell>
        </row>
        <row r="131">
          <cell r="U131" t="str">
            <v>124123</v>
          </cell>
          <cell r="V131" t="str">
            <v>信用住</v>
          </cell>
          <cell r="W131" t="str">
            <v>2026-07-19</v>
          </cell>
        </row>
        <row r="131">
          <cell r="Y131" t="str">
            <v>已分账</v>
          </cell>
          <cell r="Z131" t="str">
            <v>支付宝分账</v>
          </cell>
        </row>
        <row r="131">
          <cell r="AC131" t="str">
            <v>2026-07-20</v>
          </cell>
          <cell r="AD131" t="str">
            <v>2026-07-20</v>
          </cell>
          <cell r="AE131" t="str">
            <v>easy.chen@newworldhotels.com</v>
          </cell>
          <cell r="AF131" t="str">
            <v>646.00</v>
          </cell>
          <cell r="AG131" t="str">
            <v>售价</v>
          </cell>
          <cell r="AH131" t="str">
            <v>酒店开票</v>
          </cell>
          <cell r="AI131" t="str">
            <v>里程抵房费营销支出5%:59.95;全网推推广费:59.95</v>
          </cell>
          <cell r="AJ131" t="str">
            <v>0.00</v>
          </cell>
          <cell r="AK131" t="str">
            <v/>
          </cell>
        </row>
        <row r="132">
          <cell r="A132" t="str">
            <v>3312177098783174850</v>
          </cell>
          <cell r="B132" t="str">
            <v>谭贤钊</v>
          </cell>
        </row>
        <row r="132">
          <cell r="D132" t="str">
            <v>2026-07-19</v>
          </cell>
          <cell r="E132" t="str">
            <v>2026-07-20</v>
          </cell>
          <cell r="F132" t="str">
            <v>1</v>
          </cell>
          <cell r="G132" t="str">
            <v>1000.00</v>
          </cell>
          <cell r="H132" t="str">
            <v>-</v>
          </cell>
          <cell r="I132" t="str">
            <v>0.00</v>
          </cell>
          <cell r="J132" t="str">
            <v>-</v>
          </cell>
          <cell r="K132" t="str">
            <v>0.00</v>
          </cell>
          <cell r="L132">
            <v>206</v>
          </cell>
          <cell r="M132">
            <v>1000</v>
          </cell>
          <cell r="N132" t="str">
            <v>新世界同派酒店集团旗舰店</v>
          </cell>
          <cell r="O132" t="str">
            <v>599194059240</v>
          </cell>
          <cell r="P132" t="str">
            <v>清远新世界酒店</v>
          </cell>
          <cell r="Q132" t="str">
            <v>RSW10059</v>
          </cell>
          <cell r="R132" t="str">
            <v>豪华大床房-无早</v>
          </cell>
          <cell r="S132" t="str">
            <v>RSW10059_DXK</v>
          </cell>
        </row>
        <row r="132">
          <cell r="U132" t="str">
            <v>122763</v>
          </cell>
          <cell r="V132" t="str">
            <v>信用住</v>
          </cell>
          <cell r="W132" t="str">
            <v>2026-07-14</v>
          </cell>
        </row>
        <row r="132">
          <cell r="Y132" t="str">
            <v>已分账</v>
          </cell>
          <cell r="Z132" t="str">
            <v>支付宝分账</v>
          </cell>
        </row>
        <row r="132">
          <cell r="AC132" t="str">
            <v>2026-07-20</v>
          </cell>
          <cell r="AD132" t="str">
            <v>2026-07-20</v>
          </cell>
          <cell r="AE132" t="str">
            <v>easy.chen@newworldhotels.com</v>
          </cell>
          <cell r="AF132" t="str">
            <v>0.00</v>
          </cell>
          <cell r="AG132" t="str">
            <v>售价</v>
          </cell>
          <cell r="AH132" t="str">
            <v>酒店开票</v>
          </cell>
          <cell r="AI132" t="str">
            <v>里程抵房费营销支出5%:50.00;全网推推广费:50.00</v>
          </cell>
          <cell r="AJ132" t="str">
            <v>0.00</v>
          </cell>
          <cell r="AK132" t="str">
            <v/>
          </cell>
        </row>
        <row r="133">
          <cell r="A133" t="str">
            <v>5124386486050133035</v>
          </cell>
          <cell r="B133" t="str">
            <v>陈东</v>
          </cell>
        </row>
        <row r="133">
          <cell r="D133" t="str">
            <v>2026-07-19</v>
          </cell>
          <cell r="E133" t="str">
            <v>2026-07-20</v>
          </cell>
          <cell r="F133" t="str">
            <v>1</v>
          </cell>
          <cell r="G133" t="str">
            <v>1198.00</v>
          </cell>
          <cell r="H133" t="str">
            <v>-</v>
          </cell>
          <cell r="I133" t="str">
            <v>0.00</v>
          </cell>
          <cell r="J133" t="str">
            <v>-</v>
          </cell>
          <cell r="K133" t="str">
            <v>0.00</v>
          </cell>
          <cell r="L133">
            <v>246.79</v>
          </cell>
          <cell r="M133">
            <v>1198</v>
          </cell>
          <cell r="N133" t="str">
            <v>新世界同派酒店集团旗舰店</v>
          </cell>
          <cell r="O133" t="str">
            <v>599194059240</v>
          </cell>
          <cell r="P133" t="str">
            <v>清远新世界酒店</v>
          </cell>
          <cell r="Q133" t="str">
            <v>RSW10059</v>
          </cell>
          <cell r="R133" t="str">
            <v>豪华双床房-含早</v>
          </cell>
          <cell r="S133" t="str">
            <v>DTR</v>
          </cell>
        </row>
        <row r="133">
          <cell r="U133" t="str">
            <v>123109</v>
          </cell>
          <cell r="V133" t="str">
            <v>信用住</v>
          </cell>
          <cell r="W133" t="str">
            <v>2026-07-16</v>
          </cell>
        </row>
        <row r="133">
          <cell r="Y133" t="str">
            <v>已分账</v>
          </cell>
          <cell r="Z133" t="str">
            <v>支付宝分账</v>
          </cell>
        </row>
        <row r="133">
          <cell r="AC133" t="str">
            <v>2026-07-20</v>
          </cell>
          <cell r="AD133" t="str">
            <v>2026-07-20</v>
          </cell>
          <cell r="AE133" t="str">
            <v>easy.chen@newworldhotels.com</v>
          </cell>
          <cell r="AF133" t="str">
            <v>647.00</v>
          </cell>
          <cell r="AG133" t="str">
            <v>售价</v>
          </cell>
          <cell r="AH133" t="str">
            <v>酒店开票</v>
          </cell>
          <cell r="AI133" t="str">
            <v>里程抵房费营销支出5%:59.90;全网推推广费:59.90</v>
          </cell>
          <cell r="AJ133" t="str">
            <v>0.00</v>
          </cell>
          <cell r="AK133" t="str">
            <v/>
          </cell>
        </row>
        <row r="134">
          <cell r="A134" t="str">
            <v>5124498696481006746</v>
          </cell>
          <cell r="B134" t="str">
            <v>蔡汉华</v>
          </cell>
        </row>
        <row r="134">
          <cell r="D134" t="str">
            <v>2026-07-15</v>
          </cell>
          <cell r="E134" t="str">
            <v>2026-07-17</v>
          </cell>
          <cell r="F134" t="str">
            <v>2</v>
          </cell>
          <cell r="G134" t="str">
            <v>2554.00</v>
          </cell>
          <cell r="H134" t="str">
            <v>-</v>
          </cell>
          <cell r="I134" t="str">
            <v>0.00</v>
          </cell>
          <cell r="J134" t="str">
            <v>-</v>
          </cell>
          <cell r="K134" t="str">
            <v>0.00</v>
          </cell>
          <cell r="L134">
            <v>526.12</v>
          </cell>
          <cell r="M134">
            <v>2554</v>
          </cell>
          <cell r="N134" t="str">
            <v>新世界同派酒店集团旗舰店</v>
          </cell>
          <cell r="O134" t="str">
            <v>599194059240</v>
          </cell>
          <cell r="P134" t="str">
            <v>清远新世界酒店</v>
          </cell>
          <cell r="Q134" t="str">
            <v>RSW10059</v>
          </cell>
          <cell r="R134" t="str">
            <v>豪华亲子双床房-含早</v>
          </cell>
          <cell r="S134" t="str">
            <v>HHQZS</v>
          </cell>
        </row>
        <row r="134">
          <cell r="U134" t="str">
            <v>122941</v>
          </cell>
          <cell r="V134" t="str">
            <v>预付</v>
          </cell>
          <cell r="W134" t="str">
            <v>2026-07-15</v>
          </cell>
        </row>
        <row r="134">
          <cell r="Y134" t="str">
            <v>已分账</v>
          </cell>
          <cell r="Z134" t="str">
            <v>支付宝分账</v>
          </cell>
        </row>
        <row r="134">
          <cell r="AC134" t="str">
            <v>2026-07-20</v>
          </cell>
          <cell r="AD134" t="str">
            <v>2026-07-20</v>
          </cell>
          <cell r="AE134" t="str">
            <v>easy.chen@newworldhotels.com</v>
          </cell>
          <cell r="AF134" t="str">
            <v>0.00</v>
          </cell>
          <cell r="AG134" t="str">
            <v>售价</v>
          </cell>
          <cell r="AH134" t="str">
            <v>酒店开票</v>
          </cell>
          <cell r="AI134" t="str">
            <v>里程抵房费营销支出5%:127.70;全网推推广费:127.70</v>
          </cell>
          <cell r="AJ134" t="str">
            <v>0.00</v>
          </cell>
          <cell r="AK134" t="str">
            <v/>
          </cell>
        </row>
        <row r="135">
          <cell r="A135" t="str">
            <v>5124283131394003609</v>
          </cell>
          <cell r="B135" t="str">
            <v>邱静儿</v>
          </cell>
        </row>
        <row r="135">
          <cell r="D135" t="str">
            <v>2026-07-16</v>
          </cell>
          <cell r="E135" t="str">
            <v>2026-07-17</v>
          </cell>
          <cell r="F135" t="str">
            <v>2</v>
          </cell>
          <cell r="G135" t="str">
            <v>2000.00</v>
          </cell>
          <cell r="H135" t="str">
            <v>-</v>
          </cell>
          <cell r="I135" t="str">
            <v>0.00</v>
          </cell>
          <cell r="J135" t="str">
            <v>-</v>
          </cell>
          <cell r="K135" t="str">
            <v>0.00</v>
          </cell>
          <cell r="L135">
            <v>412</v>
          </cell>
          <cell r="M135">
            <v>2000</v>
          </cell>
          <cell r="N135" t="str">
            <v>新世界同派酒店集团旗舰店</v>
          </cell>
          <cell r="O135" t="str">
            <v>599194059240</v>
          </cell>
          <cell r="P135" t="str">
            <v>清远新世界酒店</v>
          </cell>
          <cell r="Q135" t="str">
            <v>RSW10059</v>
          </cell>
          <cell r="R135" t="str">
            <v>豪华双床房-无早</v>
          </cell>
          <cell r="S135" t="str">
            <v>DTR</v>
          </cell>
        </row>
        <row r="135">
          <cell r="U135" t="str">
            <v>123170 123171</v>
          </cell>
          <cell r="V135" t="str">
            <v>预付</v>
          </cell>
          <cell r="W135" t="str">
            <v>2026-07-16</v>
          </cell>
        </row>
        <row r="135">
          <cell r="Y135" t="str">
            <v>已分账</v>
          </cell>
          <cell r="Z135" t="str">
            <v>支付宝分账</v>
          </cell>
        </row>
        <row r="135">
          <cell r="AC135" t="str">
            <v>2026-07-20</v>
          </cell>
          <cell r="AD135" t="str">
            <v>2026-07-20</v>
          </cell>
          <cell r="AE135" t="str">
            <v>easy.chen@newworldhotels.com</v>
          </cell>
          <cell r="AF135" t="str">
            <v>0.00</v>
          </cell>
          <cell r="AG135" t="str">
            <v>售价</v>
          </cell>
          <cell r="AH135" t="str">
            <v>酒店开票</v>
          </cell>
          <cell r="AI135" t="str">
            <v>里程抵房费营销支出5%:100.00;全网推推广费:100.00</v>
          </cell>
          <cell r="AJ135" t="str">
            <v>0.00</v>
          </cell>
          <cell r="AK135" t="str">
            <v/>
          </cell>
        </row>
        <row r="136">
          <cell r="A136" t="str">
            <v>5124371006438013443</v>
          </cell>
          <cell r="B136" t="str">
            <v>陈燕娜</v>
          </cell>
        </row>
        <row r="136">
          <cell r="D136" t="str">
            <v>2026-07-16</v>
          </cell>
          <cell r="E136" t="str">
            <v>2026-07-17</v>
          </cell>
          <cell r="F136" t="str">
            <v>1</v>
          </cell>
          <cell r="G136" t="str">
            <v>1131.00</v>
          </cell>
          <cell r="H136" t="str">
            <v>-</v>
          </cell>
          <cell r="I136" t="str">
            <v>0.00</v>
          </cell>
          <cell r="J136" t="str">
            <v>-</v>
          </cell>
          <cell r="K136" t="str">
            <v>0.00</v>
          </cell>
          <cell r="L136">
            <v>176.45</v>
          </cell>
          <cell r="M136">
            <v>1131</v>
          </cell>
          <cell r="N136" t="str">
            <v>新世界同派酒店集团旗舰店</v>
          </cell>
          <cell r="O136" t="str">
            <v>599194059240</v>
          </cell>
          <cell r="P136" t="str">
            <v>清远新世界酒店</v>
          </cell>
          <cell r="Q136" t="str">
            <v>RSW10059</v>
          </cell>
          <cell r="R136" t="str">
            <v>豪华大床房-含早</v>
          </cell>
          <cell r="S136" t="str">
            <v>RSW10059_DXK</v>
          </cell>
        </row>
        <row r="136">
          <cell r="U136" t="str">
            <v>123089</v>
          </cell>
          <cell r="V136" t="str">
            <v>预付</v>
          </cell>
          <cell r="W136" t="str">
            <v>2026-07-16</v>
          </cell>
        </row>
        <row r="136">
          <cell r="Y136" t="str">
            <v>已分账</v>
          </cell>
          <cell r="Z136" t="str">
            <v>支付宝分账</v>
          </cell>
        </row>
        <row r="136">
          <cell r="AC136" t="str">
            <v>2026-07-20</v>
          </cell>
          <cell r="AD136" t="str">
            <v>2026-07-20</v>
          </cell>
          <cell r="AE136" t="str">
            <v>easy.chen@newworldhotels.com</v>
          </cell>
          <cell r="AF136" t="str">
            <v>610.00</v>
          </cell>
          <cell r="AG136" t="str">
            <v>售价</v>
          </cell>
          <cell r="AH136" t="str">
            <v>酒店开票</v>
          </cell>
          <cell r="AI136" t="str">
            <v>里程抵房费营销支出5%:56.55</v>
          </cell>
          <cell r="AJ136" t="str">
            <v>0.00</v>
          </cell>
          <cell r="AK136" t="str">
            <v/>
          </cell>
        </row>
        <row r="137">
          <cell r="A137" t="str">
            <v>3312152006548001476</v>
          </cell>
          <cell r="B137" t="str">
            <v>李想</v>
          </cell>
        </row>
        <row r="137">
          <cell r="D137" t="str">
            <v>2026-07-16</v>
          </cell>
          <cell r="E137" t="str">
            <v>2026-07-17</v>
          </cell>
          <cell r="F137" t="str">
            <v>1</v>
          </cell>
          <cell r="G137" t="str">
            <v>1130.00</v>
          </cell>
          <cell r="H137" t="str">
            <v>-</v>
          </cell>
          <cell r="I137" t="str">
            <v>0.00</v>
          </cell>
          <cell r="J137" t="str">
            <v>-</v>
          </cell>
          <cell r="K137" t="str">
            <v>0.00</v>
          </cell>
          <cell r="L137">
            <v>232.78</v>
          </cell>
          <cell r="M137">
            <v>1130</v>
          </cell>
          <cell r="N137" t="str">
            <v>新世界同派酒店集团旗舰店</v>
          </cell>
          <cell r="O137" t="str">
            <v>599194059240</v>
          </cell>
          <cell r="P137" t="str">
            <v>清远新世界酒店</v>
          </cell>
          <cell r="Q137" t="str">
            <v>RSW10059</v>
          </cell>
          <cell r="R137" t="str">
            <v>豪华大床房-含早</v>
          </cell>
          <cell r="S137" t="str">
            <v>RSW10059_DXK</v>
          </cell>
        </row>
        <row r="137">
          <cell r="U137" t="str">
            <v>122612</v>
          </cell>
          <cell r="V137" t="str">
            <v>预付</v>
          </cell>
          <cell r="W137" t="str">
            <v>2026-07-14</v>
          </cell>
        </row>
        <row r="137">
          <cell r="Y137" t="str">
            <v>已分账</v>
          </cell>
          <cell r="Z137" t="str">
            <v>支付宝分账</v>
          </cell>
        </row>
        <row r="137">
          <cell r="AC137" t="str">
            <v>2026-07-20</v>
          </cell>
          <cell r="AD137" t="str">
            <v>2026-07-20</v>
          </cell>
          <cell r="AE137" t="str">
            <v>easy.chen@newworldhotels.com</v>
          </cell>
          <cell r="AF137" t="str">
            <v>611.00</v>
          </cell>
          <cell r="AG137" t="str">
            <v>售价</v>
          </cell>
          <cell r="AH137" t="str">
            <v>酒店开票</v>
          </cell>
          <cell r="AI137" t="str">
            <v>里程抵房费营销支出5%:56.50;全网推推广费:56.50</v>
          </cell>
          <cell r="AJ137" t="str">
            <v>0.00</v>
          </cell>
          <cell r="AK137" t="str">
            <v/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7" tint="0.599993896298105"/>
  </sheetPr>
  <dimension ref="A1:D53"/>
  <sheetViews>
    <sheetView workbookViewId="0">
      <selection activeCell="C45" sqref="C45"/>
    </sheetView>
  </sheetViews>
  <sheetFormatPr defaultColWidth="9" defaultRowHeight="14" outlineLevelCol="3"/>
  <cols>
    <col min="1" max="1" width="17.625" customWidth="1"/>
  </cols>
  <sheetData>
    <row r="1" s="34" customFormat="1" ht="27.75" customHeight="1" spans="1:4">
      <c r="A1" s="36" t="s">
        <v>0</v>
      </c>
      <c r="B1" s="37" t="s">
        <v>1</v>
      </c>
      <c r="C1" s="38" t="s">
        <v>2</v>
      </c>
      <c r="D1" s="38" t="s">
        <v>3</v>
      </c>
    </row>
    <row r="2" s="35" customFormat="1" ht="12" spans="1:4">
      <c r="A2" s="42" t="s">
        <v>4</v>
      </c>
      <c r="B2" s="39">
        <v>1018.8</v>
      </c>
      <c r="C2" s="39">
        <v>1018.8</v>
      </c>
      <c r="D2" s="40">
        <v>113.2</v>
      </c>
    </row>
    <row r="3" s="14" customFormat="1" ht="12.95" customHeight="1" spans="1:4">
      <c r="A3" s="39" t="s">
        <v>5</v>
      </c>
      <c r="B3" s="39">
        <v>2358</v>
      </c>
      <c r="C3" s="39">
        <v>2358</v>
      </c>
      <c r="D3" s="40">
        <v>262</v>
      </c>
    </row>
    <row r="4" s="14" customFormat="1" ht="12.95" customHeight="1" spans="1:4">
      <c r="A4" s="39" t="s">
        <v>6</v>
      </c>
      <c r="B4" s="39">
        <v>1018.8</v>
      </c>
      <c r="C4" s="39">
        <v>1018.8</v>
      </c>
      <c r="D4" s="40">
        <v>113.2</v>
      </c>
    </row>
    <row r="5" s="14" customFormat="1" ht="12.95" customHeight="1" spans="1:4">
      <c r="A5" s="39" t="s">
        <v>7</v>
      </c>
      <c r="B5" s="39">
        <v>1018.8</v>
      </c>
      <c r="C5" s="39">
        <v>1018.8</v>
      </c>
      <c r="D5" s="40">
        <v>113.2</v>
      </c>
    </row>
    <row r="6" s="14" customFormat="1" ht="12.95" customHeight="1" spans="1:4">
      <c r="A6" s="39" t="s">
        <v>8</v>
      </c>
      <c r="B6" s="39">
        <v>2358</v>
      </c>
      <c r="C6" s="39">
        <v>2358</v>
      </c>
      <c r="D6" s="40">
        <v>262</v>
      </c>
    </row>
    <row r="7" s="14" customFormat="1" ht="12.95" customHeight="1" spans="1:4">
      <c r="A7" s="39" t="s">
        <v>9</v>
      </c>
      <c r="B7" s="39">
        <v>2457.9</v>
      </c>
      <c r="C7" s="39">
        <v>2457.9</v>
      </c>
      <c r="D7" s="40">
        <v>273.1</v>
      </c>
    </row>
    <row r="8" s="14" customFormat="1" ht="12.95" customHeight="1" spans="1:4">
      <c r="A8" s="39" t="s">
        <v>10</v>
      </c>
      <c r="B8" s="39">
        <v>944.1</v>
      </c>
      <c r="C8" s="39">
        <v>944.1</v>
      </c>
      <c r="D8" s="40">
        <v>104.9</v>
      </c>
    </row>
    <row r="9" s="14" customFormat="1" ht="12.95" customHeight="1" spans="1:4">
      <c r="A9" s="39" t="s">
        <v>11</v>
      </c>
      <c r="B9" s="39">
        <v>1139.4</v>
      </c>
      <c r="C9" s="39">
        <v>1139.4</v>
      </c>
      <c r="D9" s="40">
        <v>126.6</v>
      </c>
    </row>
    <row r="10" s="14" customFormat="1" ht="12.95" customHeight="1" spans="1:4">
      <c r="A10" s="39" t="s">
        <v>12</v>
      </c>
      <c r="B10" s="39">
        <v>1018.8</v>
      </c>
      <c r="C10" s="39">
        <v>1018.8</v>
      </c>
      <c r="D10" s="40">
        <v>113.2</v>
      </c>
    </row>
    <row r="11" s="14" customFormat="1" ht="12.95" customHeight="1" spans="1:4">
      <c r="A11" s="39" t="s">
        <v>13</v>
      </c>
      <c r="B11" s="39">
        <v>944.1</v>
      </c>
      <c r="C11" s="39">
        <v>944.1</v>
      </c>
      <c r="D11" s="40">
        <v>104.9</v>
      </c>
    </row>
    <row r="12" s="14" customFormat="1" ht="12.95" customHeight="1" spans="1:4">
      <c r="A12" s="39" t="s">
        <v>14</v>
      </c>
      <c r="B12" s="39">
        <v>1018.8</v>
      </c>
      <c r="C12" s="39">
        <v>1018.8</v>
      </c>
      <c r="D12" s="40">
        <v>113.2</v>
      </c>
    </row>
    <row r="13" s="14" customFormat="1" ht="12.95" customHeight="1" spans="1:4">
      <c r="A13" s="39" t="s">
        <v>15</v>
      </c>
      <c r="B13" s="39">
        <v>2037.6</v>
      </c>
      <c r="C13" s="39">
        <v>2037.6</v>
      </c>
      <c r="D13" s="40">
        <v>226.4</v>
      </c>
    </row>
    <row r="14" s="14" customFormat="1" ht="12.95" customHeight="1" spans="1:4">
      <c r="A14" s="39" t="s">
        <v>16</v>
      </c>
      <c r="B14" s="39">
        <v>1018.8</v>
      </c>
      <c r="C14" s="39">
        <v>1018.8</v>
      </c>
      <c r="D14" s="40">
        <v>113.2</v>
      </c>
    </row>
    <row r="15" s="14" customFormat="1" ht="12.95" customHeight="1" spans="1:4">
      <c r="A15" s="39" t="s">
        <v>17</v>
      </c>
      <c r="B15" s="39">
        <v>1139.4</v>
      </c>
      <c r="C15" s="39">
        <v>1139.4</v>
      </c>
      <c r="D15" s="40">
        <v>126.6</v>
      </c>
    </row>
    <row r="16" s="14" customFormat="1" ht="12.95" customHeight="1" spans="1:4">
      <c r="A16" s="39" t="s">
        <v>18</v>
      </c>
      <c r="B16" s="39">
        <v>1018.8</v>
      </c>
      <c r="C16" s="39">
        <v>1018.8</v>
      </c>
      <c r="D16" s="40">
        <v>113.2</v>
      </c>
    </row>
    <row r="17" s="14" customFormat="1" ht="12.95" customHeight="1" spans="1:4">
      <c r="A17" s="39" t="s">
        <v>19</v>
      </c>
      <c r="B17" s="39">
        <v>1018.8</v>
      </c>
      <c r="C17" s="39">
        <v>1018.8</v>
      </c>
      <c r="D17" s="40">
        <v>113.2</v>
      </c>
    </row>
    <row r="18" s="14" customFormat="1" ht="12.95" customHeight="1" spans="1:4">
      <c r="A18" s="39" t="s">
        <v>20</v>
      </c>
      <c r="B18" s="39">
        <v>1018.8</v>
      </c>
      <c r="C18" s="39">
        <v>1018.8</v>
      </c>
      <c r="D18" s="40">
        <v>113.2</v>
      </c>
    </row>
    <row r="19" s="14" customFormat="1" ht="12.95" customHeight="1" spans="1:4">
      <c r="A19" s="39" t="s">
        <v>21</v>
      </c>
      <c r="B19" s="39">
        <v>1018.8</v>
      </c>
      <c r="C19" s="39">
        <v>1018.8</v>
      </c>
      <c r="D19" s="40">
        <v>113.2</v>
      </c>
    </row>
    <row r="20" s="14" customFormat="1" ht="12.95" customHeight="1" spans="1:4">
      <c r="A20" s="39" t="s">
        <v>22</v>
      </c>
      <c r="B20" s="39">
        <v>2037.6</v>
      </c>
      <c r="C20" s="39">
        <v>2037.6</v>
      </c>
      <c r="D20" s="40">
        <v>226.4</v>
      </c>
    </row>
    <row r="21" s="14" customFormat="1" ht="12.95" customHeight="1" spans="1:4">
      <c r="A21" s="39" t="s">
        <v>23</v>
      </c>
      <c r="B21" s="39">
        <v>1018.8</v>
      </c>
      <c r="C21" s="39">
        <v>1018.8</v>
      </c>
      <c r="D21" s="40">
        <v>113.2</v>
      </c>
    </row>
    <row r="22" s="14" customFormat="1" ht="12.95" customHeight="1" spans="1:4">
      <c r="A22" s="39" t="s">
        <v>24</v>
      </c>
      <c r="B22" s="39">
        <v>944.1</v>
      </c>
      <c r="C22" s="39">
        <v>944.1</v>
      </c>
      <c r="D22" s="40">
        <v>104.9</v>
      </c>
    </row>
    <row r="23" s="14" customFormat="1" ht="12.95" customHeight="1" spans="1:4">
      <c r="A23" s="39" t="s">
        <v>25</v>
      </c>
      <c r="B23" s="39">
        <v>1018.8</v>
      </c>
      <c r="C23" s="39">
        <v>1018.8</v>
      </c>
      <c r="D23" s="40">
        <v>113.2</v>
      </c>
    </row>
    <row r="24" s="14" customFormat="1" ht="12.95" customHeight="1" spans="1:4">
      <c r="A24" s="42" t="s">
        <v>26</v>
      </c>
      <c r="B24" s="39">
        <v>900</v>
      </c>
      <c r="C24" s="39">
        <v>900</v>
      </c>
      <c r="D24" s="40">
        <v>100</v>
      </c>
    </row>
    <row r="25" s="14" customFormat="1" ht="12.95" customHeight="1" spans="1:4">
      <c r="A25" s="39" t="s">
        <v>27</v>
      </c>
      <c r="B25" s="39">
        <v>1018.8</v>
      </c>
      <c r="C25" s="39">
        <v>1018.8</v>
      </c>
      <c r="D25" s="40">
        <v>113.2</v>
      </c>
    </row>
    <row r="26" s="14" customFormat="1" ht="12.95" customHeight="1" spans="1:4">
      <c r="A26" s="39" t="s">
        <v>28</v>
      </c>
      <c r="B26" s="39">
        <v>944.1</v>
      </c>
      <c r="C26" s="39">
        <v>944.1</v>
      </c>
      <c r="D26" s="40">
        <v>104.9</v>
      </c>
    </row>
    <row r="27" s="14" customFormat="1" ht="12.95" customHeight="1" spans="1:4">
      <c r="A27" s="39" t="s">
        <v>29</v>
      </c>
      <c r="B27" s="39">
        <v>1018.8</v>
      </c>
      <c r="C27" s="39">
        <v>1018.8</v>
      </c>
      <c r="D27" s="40">
        <v>113.2</v>
      </c>
    </row>
    <row r="28" s="14" customFormat="1" ht="12.95" customHeight="1" spans="1:4">
      <c r="A28" s="39" t="s">
        <v>30</v>
      </c>
      <c r="B28" s="39">
        <v>1018.8</v>
      </c>
      <c r="C28" s="39">
        <v>1018.8</v>
      </c>
      <c r="D28" s="40">
        <v>113.2</v>
      </c>
    </row>
    <row r="29" s="14" customFormat="1" ht="12.95" customHeight="1" spans="1:4">
      <c r="A29" s="39" t="s">
        <v>31</v>
      </c>
      <c r="B29" s="39">
        <v>944.1</v>
      </c>
      <c r="C29" s="39">
        <v>944.1</v>
      </c>
      <c r="D29" s="40">
        <v>104.9</v>
      </c>
    </row>
    <row r="30" s="14" customFormat="1" ht="12.95" customHeight="1" spans="1:4">
      <c r="A30" s="39" t="s">
        <v>32</v>
      </c>
      <c r="B30" s="39">
        <v>2037.6</v>
      </c>
      <c r="C30" s="39">
        <v>2037.6</v>
      </c>
      <c r="D30" s="40">
        <v>226.4</v>
      </c>
    </row>
    <row r="31" s="14" customFormat="1" ht="12.95" customHeight="1" spans="1:4">
      <c r="A31" s="39" t="s">
        <v>33</v>
      </c>
      <c r="B31" s="39">
        <v>1018.8</v>
      </c>
      <c r="C31" s="39">
        <v>1018.8</v>
      </c>
      <c r="D31" s="40">
        <v>113.2</v>
      </c>
    </row>
    <row r="32" s="14" customFormat="1" ht="12.95" customHeight="1" spans="1:4">
      <c r="A32" s="39" t="s">
        <v>34</v>
      </c>
      <c r="B32" s="39">
        <v>900</v>
      </c>
      <c r="C32" s="39">
        <v>900</v>
      </c>
      <c r="D32" s="40">
        <v>100</v>
      </c>
    </row>
    <row r="33" s="14" customFormat="1" ht="12.95" customHeight="1" spans="1:4">
      <c r="A33" s="39" t="s">
        <v>35</v>
      </c>
      <c r="B33" s="39">
        <v>1173.6</v>
      </c>
      <c r="C33" s="39">
        <v>1173.6</v>
      </c>
      <c r="D33" s="40">
        <v>130.4</v>
      </c>
    </row>
    <row r="34" s="14" customFormat="1" ht="12.95" customHeight="1" spans="1:4">
      <c r="A34" s="39" t="s">
        <v>36</v>
      </c>
      <c r="B34" s="39">
        <v>1173.6</v>
      </c>
      <c r="C34" s="39">
        <v>1173.6</v>
      </c>
      <c r="D34" s="40">
        <v>130.4</v>
      </c>
    </row>
    <row r="35" s="14" customFormat="1" ht="12.95" customHeight="1" spans="1:4">
      <c r="A35" s="39" t="s">
        <v>37</v>
      </c>
      <c r="B35" s="39">
        <v>1173.6</v>
      </c>
      <c r="C35" s="39">
        <v>1173.6</v>
      </c>
      <c r="D35" s="40">
        <v>130.4</v>
      </c>
    </row>
    <row r="36" s="14" customFormat="1" ht="12.95" customHeight="1" spans="1:4">
      <c r="A36" s="39" t="s">
        <v>38</v>
      </c>
      <c r="B36" s="39">
        <v>2347.2</v>
      </c>
      <c r="C36" s="39">
        <v>2347.2</v>
      </c>
      <c r="D36" s="40">
        <v>260.8</v>
      </c>
    </row>
    <row r="37" s="14" customFormat="1" ht="12.95" customHeight="1" spans="1:4">
      <c r="A37" s="39" t="s">
        <v>39</v>
      </c>
      <c r="B37" s="39">
        <v>1173.6</v>
      </c>
      <c r="C37" s="39">
        <v>1173.6</v>
      </c>
      <c r="D37" s="40">
        <v>130.4</v>
      </c>
    </row>
    <row r="38" s="14" customFormat="1" ht="12.95" customHeight="1" spans="1:4">
      <c r="A38" s="39" t="s">
        <v>40</v>
      </c>
      <c r="B38" s="39">
        <v>1173.6</v>
      </c>
      <c r="C38" s="39">
        <v>1173.6</v>
      </c>
      <c r="D38" s="40">
        <v>130.4</v>
      </c>
    </row>
    <row r="39" s="14" customFormat="1" ht="12.95" customHeight="1" spans="1:4">
      <c r="A39" s="39" t="s">
        <v>41</v>
      </c>
      <c r="B39" s="39">
        <v>1484.1</v>
      </c>
      <c r="C39" s="39">
        <v>1484.1</v>
      </c>
      <c r="D39" s="40">
        <v>164.9</v>
      </c>
    </row>
    <row r="40" s="14" customFormat="1" ht="12.95" customHeight="1" spans="1:4">
      <c r="A40" s="39" t="s">
        <v>42</v>
      </c>
      <c r="B40" s="39">
        <v>1436.4</v>
      </c>
      <c r="C40" s="39">
        <v>1436.4</v>
      </c>
      <c r="D40" s="40">
        <v>159.6</v>
      </c>
    </row>
    <row r="41" s="14" customFormat="1" ht="12.95" customHeight="1" spans="1:4">
      <c r="A41" s="39" t="s">
        <v>43</v>
      </c>
      <c r="B41" s="39">
        <v>1436.4</v>
      </c>
      <c r="C41" s="39">
        <v>1436.4</v>
      </c>
      <c r="D41" s="40">
        <v>159.6</v>
      </c>
    </row>
    <row r="42" s="14" customFormat="1" ht="12.95" customHeight="1" spans="1:4">
      <c r="A42" s="39" t="s">
        <v>44</v>
      </c>
      <c r="B42" s="39">
        <v>1505.7</v>
      </c>
      <c r="C42" s="39">
        <v>1505.7</v>
      </c>
      <c r="D42" s="40">
        <v>167.3</v>
      </c>
    </row>
    <row r="43" s="14" customFormat="1" ht="12.95" customHeight="1" spans="1:4">
      <c r="A43" s="39" t="s">
        <v>45</v>
      </c>
      <c r="B43" s="39">
        <v>1436.4</v>
      </c>
      <c r="C43" s="39">
        <v>1436.4</v>
      </c>
      <c r="D43" s="40">
        <v>159.6</v>
      </c>
    </row>
    <row r="44" s="14" customFormat="1" ht="12.95" customHeight="1" spans="1:4">
      <c r="A44" s="39" t="s">
        <v>46</v>
      </c>
      <c r="B44" s="39">
        <v>1436.4</v>
      </c>
      <c r="C44" s="39">
        <v>1436.4</v>
      </c>
      <c r="D44" s="40">
        <v>159.6</v>
      </c>
    </row>
    <row r="45" s="14" customFormat="1" ht="12.95" customHeight="1" spans="1:4">
      <c r="A45" s="42" t="s">
        <v>47</v>
      </c>
      <c r="B45" s="39">
        <v>3105</v>
      </c>
      <c r="C45" s="39">
        <v>3105</v>
      </c>
      <c r="D45" s="40">
        <v>345</v>
      </c>
    </row>
    <row r="46" s="14" customFormat="1" ht="12.95" customHeight="1" spans="1:4">
      <c r="A46" s="42" t="s">
        <v>48</v>
      </c>
      <c r="B46" s="39">
        <v>1552.5</v>
      </c>
      <c r="C46" s="39">
        <v>1552.5</v>
      </c>
      <c r="D46" s="40">
        <v>172.5</v>
      </c>
    </row>
    <row r="47" s="14" customFormat="1" ht="12.95" customHeight="1" spans="1:4">
      <c r="A47" s="39" t="s">
        <v>49</v>
      </c>
      <c r="B47" s="39">
        <v>2223.9</v>
      </c>
      <c r="C47" s="39">
        <v>2223.9</v>
      </c>
      <c r="D47" s="40">
        <v>247.1</v>
      </c>
    </row>
    <row r="48" s="14" customFormat="1" ht="12.95" customHeight="1" spans="1:4">
      <c r="A48" s="39" t="s">
        <v>50</v>
      </c>
      <c r="B48" s="39">
        <v>3105</v>
      </c>
      <c r="C48" s="39">
        <v>3105</v>
      </c>
      <c r="D48" s="40">
        <v>345</v>
      </c>
    </row>
    <row r="49" s="14" customFormat="1" ht="12.95" customHeight="1" spans="1:4">
      <c r="A49" s="39" t="s">
        <v>51</v>
      </c>
      <c r="B49" s="39">
        <v>1552.5</v>
      </c>
      <c r="C49" s="39">
        <v>1552.5</v>
      </c>
      <c r="D49" s="40">
        <v>172.5</v>
      </c>
    </row>
    <row r="50" s="14" customFormat="1" ht="12.95" customHeight="1" spans="1:4">
      <c r="A50" s="39" t="s">
        <v>52</v>
      </c>
      <c r="B50" s="39">
        <v>1505.7</v>
      </c>
      <c r="C50" s="39">
        <v>1505.7</v>
      </c>
      <c r="D50" s="40">
        <v>167.3</v>
      </c>
    </row>
    <row r="51" s="14" customFormat="1" ht="12.95" customHeight="1" spans="1:4">
      <c r="A51" s="39" t="s">
        <v>53</v>
      </c>
      <c r="B51" s="39">
        <v>2872.8</v>
      </c>
      <c r="C51" s="39">
        <v>2872.8</v>
      </c>
      <c r="D51" s="40">
        <v>319.2</v>
      </c>
    </row>
    <row r="52" s="14" customFormat="1" ht="12.95" customHeight="1" spans="1:4">
      <c r="A52" s="39" t="s">
        <v>54</v>
      </c>
      <c r="B52" s="39">
        <v>1436.4</v>
      </c>
      <c r="C52" s="39">
        <v>1436.4</v>
      </c>
      <c r="D52" s="40">
        <v>159.6</v>
      </c>
    </row>
    <row r="53" s="14" customFormat="1" spans="1:4">
      <c r="A53" s="39"/>
      <c r="B53" s="41">
        <f>SUM(B2:B52)</f>
        <v>72691.2</v>
      </c>
      <c r="C53"/>
    </row>
  </sheetData>
  <conditionalFormatting sqref="A1:C1">
    <cfRule type="expression" dxfId="0" priority="20">
      <formula>COUNTA($A1:$A1)&gt;0</formula>
    </cfRule>
  </conditionalFormatting>
  <conditionalFormatting sqref="D1">
    <cfRule type="expression" dxfId="0" priority="1">
      <formula>COUNTA($A1:$E1)&gt;0</formula>
    </cfRule>
  </conditionalFormatting>
  <conditionalFormatting sqref="D2:D23">
    <cfRule type="expression" dxfId="0" priority="3">
      <formula>COUNTA($A2:$E96)&gt;0</formula>
    </cfRule>
  </conditionalFormatting>
  <conditionalFormatting sqref="D24:D52">
    <cfRule type="expression" dxfId="0" priority="2">
      <formula>COUNTA($A24:$E120)&gt;0</formula>
    </cfRule>
  </conditionalFormatting>
  <conditionalFormatting sqref="A2:C23">
    <cfRule type="expression" dxfId="0" priority="7">
      <formula>COUNTA($A2:$A96)&gt;0</formula>
    </cfRule>
  </conditionalFormatting>
  <conditionalFormatting sqref="A24:A53 B24:C52">
    <cfRule type="expression" dxfId="0" priority="5">
      <formula>COUNTA($A24:$A120)&gt;0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theme="7" tint="0.599993896298105"/>
  </sheetPr>
  <dimension ref="A1:C56"/>
  <sheetViews>
    <sheetView workbookViewId="0">
      <selection activeCell="A27" sqref="A27"/>
    </sheetView>
  </sheetViews>
  <sheetFormatPr defaultColWidth="9" defaultRowHeight="14" outlineLevelCol="2"/>
  <cols>
    <col min="1" max="1" width="40.875" customWidth="1"/>
  </cols>
  <sheetData>
    <row r="1" spans="1:3">
      <c r="A1" t="s">
        <v>55</v>
      </c>
      <c r="B1" t="s">
        <v>56</v>
      </c>
      <c r="C1" t="s">
        <v>57</v>
      </c>
    </row>
    <row r="2" spans="1:3">
      <c r="A2" t="s">
        <v>6</v>
      </c>
      <c r="B2">
        <v>1132</v>
      </c>
      <c r="C2">
        <v>1132</v>
      </c>
    </row>
    <row r="3" spans="1:3">
      <c r="A3" t="s">
        <v>11</v>
      </c>
      <c r="B3">
        <v>1266</v>
      </c>
      <c r="C3">
        <v>1266</v>
      </c>
    </row>
    <row r="4" spans="1:3">
      <c r="A4" t="s">
        <v>9</v>
      </c>
      <c r="B4">
        <v>2731</v>
      </c>
      <c r="C4">
        <v>2731</v>
      </c>
    </row>
    <row r="5" spans="1:3">
      <c r="A5" t="s">
        <v>8</v>
      </c>
      <c r="B5">
        <v>2620</v>
      </c>
      <c r="C5">
        <v>2620</v>
      </c>
    </row>
    <row r="6" spans="1:3">
      <c r="A6" t="s">
        <v>5</v>
      </c>
      <c r="B6">
        <v>2620</v>
      </c>
      <c r="C6">
        <v>2620</v>
      </c>
    </row>
    <row r="7" spans="1:3">
      <c r="A7" t="s">
        <v>7</v>
      </c>
      <c r="B7">
        <v>1132</v>
      </c>
      <c r="C7">
        <v>1132</v>
      </c>
    </row>
    <row r="8" spans="1:3">
      <c r="A8" t="s">
        <v>12</v>
      </c>
      <c r="B8">
        <v>1132</v>
      </c>
      <c r="C8">
        <v>1132</v>
      </c>
    </row>
    <row r="9" spans="1:3">
      <c r="A9" t="s">
        <v>10</v>
      </c>
      <c r="B9">
        <v>1049</v>
      </c>
      <c r="C9">
        <v>1049</v>
      </c>
    </row>
    <row r="10" spans="1:3">
      <c r="A10" t="s">
        <v>13</v>
      </c>
      <c r="B10">
        <v>1049</v>
      </c>
      <c r="C10">
        <v>1049</v>
      </c>
    </row>
    <row r="11" spans="1:3">
      <c r="A11" t="s">
        <v>4</v>
      </c>
      <c r="B11">
        <v>1132</v>
      </c>
      <c r="C11">
        <v>1132</v>
      </c>
    </row>
    <row r="12" spans="1:3">
      <c r="A12" t="s">
        <v>17</v>
      </c>
      <c r="B12">
        <v>1266</v>
      </c>
      <c r="C12">
        <v>1266</v>
      </c>
    </row>
    <row r="13" spans="1:3">
      <c r="A13" t="s">
        <v>58</v>
      </c>
      <c r="B13">
        <v>2264</v>
      </c>
      <c r="C13">
        <v>2264</v>
      </c>
    </row>
    <row r="14" spans="1:3">
      <c r="A14" t="s">
        <v>14</v>
      </c>
      <c r="B14">
        <v>1132</v>
      </c>
      <c r="C14">
        <v>1132</v>
      </c>
    </row>
    <row r="15" spans="1:3">
      <c r="A15" t="s">
        <v>16</v>
      </c>
      <c r="B15">
        <v>1132</v>
      </c>
      <c r="C15">
        <v>1132</v>
      </c>
    </row>
    <row r="16" spans="1:3">
      <c r="A16" t="s">
        <v>18</v>
      </c>
      <c r="B16">
        <v>1132</v>
      </c>
      <c r="C16">
        <v>1132</v>
      </c>
    </row>
    <row r="17" spans="1:3">
      <c r="A17" t="s">
        <v>19</v>
      </c>
      <c r="B17">
        <v>1132</v>
      </c>
      <c r="C17">
        <v>1132</v>
      </c>
    </row>
    <row r="18" spans="1:3">
      <c r="A18" t="s">
        <v>25</v>
      </c>
      <c r="B18">
        <v>1132</v>
      </c>
      <c r="C18">
        <v>1132</v>
      </c>
    </row>
    <row r="19" spans="1:3">
      <c r="A19" t="s">
        <v>36</v>
      </c>
      <c r="B19">
        <v>1304</v>
      </c>
      <c r="C19">
        <v>1304</v>
      </c>
    </row>
    <row r="20" spans="1:3">
      <c r="A20" t="s">
        <v>27</v>
      </c>
      <c r="B20">
        <v>1132</v>
      </c>
      <c r="C20">
        <v>1132</v>
      </c>
    </row>
    <row r="21" spans="1:3">
      <c r="A21" t="s">
        <v>26</v>
      </c>
      <c r="B21">
        <v>1000</v>
      </c>
      <c r="C21">
        <v>1000</v>
      </c>
    </row>
    <row r="22" spans="1:3">
      <c r="A22" t="s">
        <v>28</v>
      </c>
      <c r="B22">
        <v>1049</v>
      </c>
      <c r="C22">
        <v>1049</v>
      </c>
    </row>
    <row r="23" spans="1:3">
      <c r="A23" t="s">
        <v>41</v>
      </c>
      <c r="B23">
        <v>1649</v>
      </c>
      <c r="C23">
        <v>1649</v>
      </c>
    </row>
    <row r="24" spans="1:3">
      <c r="A24" t="s">
        <v>50</v>
      </c>
      <c r="B24">
        <v>1725</v>
      </c>
      <c r="C24">
        <v>1725</v>
      </c>
    </row>
    <row r="25" spans="1:3">
      <c r="A25" t="s">
        <v>52</v>
      </c>
      <c r="B25">
        <v>1673</v>
      </c>
      <c r="C25">
        <v>1673</v>
      </c>
    </row>
    <row r="26" spans="1:3">
      <c r="A26" t="s">
        <v>49</v>
      </c>
      <c r="B26">
        <v>2471</v>
      </c>
      <c r="C26">
        <v>2471</v>
      </c>
    </row>
    <row r="27" spans="1:3">
      <c r="A27" t="s">
        <v>59</v>
      </c>
      <c r="B27">
        <v>3029</v>
      </c>
      <c r="C27">
        <v>3029</v>
      </c>
    </row>
    <row r="28" spans="1:3">
      <c r="A28" t="s">
        <v>59</v>
      </c>
      <c r="B28">
        <v>3029</v>
      </c>
      <c r="C28">
        <v>3029</v>
      </c>
    </row>
    <row r="29" spans="1:3">
      <c r="A29" t="s">
        <v>51</v>
      </c>
      <c r="B29">
        <v>1725</v>
      </c>
      <c r="C29">
        <v>1725</v>
      </c>
    </row>
    <row r="30" spans="1:3">
      <c r="A30" t="s">
        <v>48</v>
      </c>
      <c r="B30">
        <v>1725</v>
      </c>
      <c r="C30">
        <v>1725</v>
      </c>
    </row>
    <row r="31" spans="1:3">
      <c r="A31" t="s">
        <v>50</v>
      </c>
      <c r="B31">
        <v>1725</v>
      </c>
      <c r="C31">
        <v>1725</v>
      </c>
    </row>
    <row r="32" spans="1:3">
      <c r="A32" t="s">
        <v>44</v>
      </c>
      <c r="B32">
        <v>1673</v>
      </c>
      <c r="C32">
        <v>1673</v>
      </c>
    </row>
    <row r="33" spans="1:3">
      <c r="A33" t="s">
        <v>54</v>
      </c>
      <c r="B33">
        <v>1596</v>
      </c>
      <c r="C33">
        <v>1596</v>
      </c>
    </row>
    <row r="34" spans="1:3">
      <c r="A34" t="s">
        <v>42</v>
      </c>
      <c r="B34">
        <v>1596</v>
      </c>
      <c r="C34">
        <v>1596</v>
      </c>
    </row>
    <row r="35" spans="1:3">
      <c r="A35" t="s">
        <v>45</v>
      </c>
      <c r="B35">
        <v>1596</v>
      </c>
      <c r="C35">
        <v>1596</v>
      </c>
    </row>
    <row r="36" spans="1:3">
      <c r="A36" t="s">
        <v>46</v>
      </c>
      <c r="B36">
        <v>1596</v>
      </c>
      <c r="C36">
        <v>1596</v>
      </c>
    </row>
    <row r="37" spans="1:3">
      <c r="A37" t="s">
        <v>20</v>
      </c>
      <c r="B37">
        <v>1132</v>
      </c>
      <c r="C37">
        <v>1132</v>
      </c>
    </row>
    <row r="38" spans="1:3">
      <c r="A38" t="s">
        <v>22</v>
      </c>
      <c r="B38">
        <v>2264</v>
      </c>
      <c r="C38">
        <v>2264</v>
      </c>
    </row>
    <row r="39" spans="1:3">
      <c r="A39" t="s">
        <v>23</v>
      </c>
      <c r="B39">
        <v>1132</v>
      </c>
      <c r="C39">
        <v>1132</v>
      </c>
    </row>
    <row r="40" spans="1:3">
      <c r="A40" t="s">
        <v>21</v>
      </c>
      <c r="B40">
        <v>1132</v>
      </c>
      <c r="C40">
        <v>1132</v>
      </c>
    </row>
    <row r="41" spans="1:3">
      <c r="A41" t="s">
        <v>24</v>
      </c>
      <c r="B41">
        <v>1049</v>
      </c>
      <c r="C41">
        <v>1049</v>
      </c>
    </row>
    <row r="42" spans="1:3">
      <c r="A42" t="s">
        <v>32</v>
      </c>
      <c r="B42">
        <v>1132</v>
      </c>
      <c r="C42">
        <v>1132</v>
      </c>
    </row>
    <row r="43" spans="1:3">
      <c r="A43" t="s">
        <v>33</v>
      </c>
      <c r="B43">
        <v>1132</v>
      </c>
      <c r="C43">
        <v>1132</v>
      </c>
    </row>
    <row r="44" spans="1:3">
      <c r="A44" t="s">
        <v>30</v>
      </c>
      <c r="B44">
        <v>1132</v>
      </c>
      <c r="C44">
        <v>1132</v>
      </c>
    </row>
    <row r="45" spans="1:3">
      <c r="A45" t="s">
        <v>32</v>
      </c>
      <c r="B45">
        <v>1132</v>
      </c>
      <c r="C45">
        <v>1132</v>
      </c>
    </row>
    <row r="46" spans="1:3">
      <c r="A46" t="s">
        <v>29</v>
      </c>
      <c r="B46">
        <v>1132</v>
      </c>
      <c r="C46">
        <v>1132</v>
      </c>
    </row>
    <row r="47" spans="1:3">
      <c r="A47" t="s">
        <v>31</v>
      </c>
      <c r="B47">
        <v>1049</v>
      </c>
      <c r="C47">
        <v>1049</v>
      </c>
    </row>
    <row r="48" spans="1:3">
      <c r="A48" t="s">
        <v>34</v>
      </c>
      <c r="B48">
        <v>1000</v>
      </c>
      <c r="C48">
        <v>1000</v>
      </c>
    </row>
    <row r="49" spans="1:3">
      <c r="A49" t="s">
        <v>37</v>
      </c>
      <c r="B49">
        <v>1304</v>
      </c>
      <c r="C49">
        <v>1304</v>
      </c>
    </row>
    <row r="50" spans="1:3">
      <c r="A50" t="s">
        <v>39</v>
      </c>
      <c r="B50">
        <v>1304</v>
      </c>
      <c r="C50">
        <v>1304</v>
      </c>
    </row>
    <row r="51" spans="1:3">
      <c r="A51" t="s">
        <v>35</v>
      </c>
      <c r="B51">
        <v>1304</v>
      </c>
      <c r="C51">
        <v>1304</v>
      </c>
    </row>
    <row r="52" spans="1:3">
      <c r="A52" t="s">
        <v>40</v>
      </c>
      <c r="B52">
        <v>1304</v>
      </c>
      <c r="C52">
        <v>1304</v>
      </c>
    </row>
    <row r="53" spans="1:3">
      <c r="A53" t="s">
        <v>43</v>
      </c>
      <c r="B53">
        <v>1596</v>
      </c>
      <c r="C53">
        <v>1596</v>
      </c>
    </row>
    <row r="54" spans="1:3">
      <c r="A54" t="s">
        <v>53</v>
      </c>
      <c r="B54">
        <v>1596</v>
      </c>
      <c r="C54">
        <v>1596</v>
      </c>
    </row>
    <row r="55" spans="1:3">
      <c r="A55" t="s">
        <v>53</v>
      </c>
      <c r="B55">
        <v>1596</v>
      </c>
      <c r="C55">
        <v>1596</v>
      </c>
    </row>
    <row r="56" spans="1:3">
      <c r="B56">
        <f>SUM(B2:B55)</f>
        <v>80768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9" tint="0.799981688894314"/>
  </sheetPr>
  <dimension ref="A1:F140"/>
  <sheetViews>
    <sheetView workbookViewId="0">
      <selection activeCell="C1" sqref="C1"/>
    </sheetView>
  </sheetViews>
  <sheetFormatPr defaultColWidth="9" defaultRowHeight="14" outlineLevelCol="5"/>
  <cols>
    <col min="1" max="1" width="13.875" customWidth="1"/>
    <col min="2" max="2" width="21.625" customWidth="1"/>
    <col min="3" max="3" width="17.25" customWidth="1"/>
  </cols>
  <sheetData>
    <row r="1" s="14" customFormat="1" spans="1:6">
      <c r="A1" s="14" t="s">
        <v>60</v>
      </c>
      <c r="B1" s="14" t="s">
        <v>61</v>
      </c>
      <c r="C1" s="14" t="s">
        <v>62</v>
      </c>
      <c r="D1" s="14" t="s">
        <v>63</v>
      </c>
    </row>
    <row r="2" s="14" customFormat="1" ht="15.5" spans="1:6">
      <c r="A2" s="14" t="s">
        <v>64</v>
      </c>
      <c r="B2" s="14" t="s">
        <v>65</v>
      </c>
      <c r="C2" s="31">
        <v>168</v>
      </c>
      <c r="D2" s="31">
        <v>6.72</v>
      </c>
      <c r="F2" s="32" t="s">
        <v>66</v>
      </c>
    </row>
    <row r="3" s="14" customFormat="1" ht="15.5" spans="1:6">
      <c r="A3" s="14" t="s">
        <v>67</v>
      </c>
      <c r="B3" s="14" t="s">
        <v>68</v>
      </c>
      <c r="C3" s="31">
        <v>168</v>
      </c>
      <c r="D3" s="31">
        <v>6.72</v>
      </c>
      <c r="F3" s="32" t="s">
        <v>66</v>
      </c>
    </row>
    <row r="4" s="14" customFormat="1" ht="15.5" spans="1:6">
      <c r="A4" s="14" t="s">
        <v>69</v>
      </c>
      <c r="B4" s="14" t="s">
        <v>70</v>
      </c>
      <c r="C4" s="31">
        <v>598</v>
      </c>
      <c r="D4" s="31">
        <v>23.92</v>
      </c>
      <c r="F4" s="32" t="s">
        <v>66</v>
      </c>
    </row>
    <row r="5" s="14" customFormat="1" ht="15.5" spans="1:6">
      <c r="A5" s="14" t="s">
        <v>71</v>
      </c>
      <c r="B5" s="14" t="s">
        <v>72</v>
      </c>
      <c r="C5" s="31">
        <v>95</v>
      </c>
      <c r="D5" s="31">
        <v>3.8</v>
      </c>
      <c r="F5" s="32" t="s">
        <v>66</v>
      </c>
    </row>
    <row r="6" s="14" customFormat="1" ht="15.5" spans="1:6">
      <c r="A6" s="14" t="s">
        <v>73</v>
      </c>
      <c r="B6" s="14" t="s">
        <v>72</v>
      </c>
      <c r="C6" s="31">
        <v>95</v>
      </c>
      <c r="D6" s="31">
        <v>3.8</v>
      </c>
      <c r="F6" s="32" t="s">
        <v>66</v>
      </c>
    </row>
    <row r="7" s="14" customFormat="1" ht="15.5" spans="1:6">
      <c r="A7" s="14" t="s">
        <v>74</v>
      </c>
      <c r="B7" s="14" t="s">
        <v>72</v>
      </c>
      <c r="C7" s="31">
        <v>95</v>
      </c>
      <c r="D7" s="31">
        <v>3.8</v>
      </c>
      <c r="F7" s="32" t="s">
        <v>66</v>
      </c>
    </row>
    <row r="8" s="14" customFormat="1" ht="15.5" spans="1:6">
      <c r="A8" s="14" t="s">
        <v>75</v>
      </c>
      <c r="B8" s="14" t="s">
        <v>76</v>
      </c>
      <c r="C8" s="31">
        <v>598</v>
      </c>
      <c r="D8" s="31">
        <v>23.92</v>
      </c>
      <c r="F8" s="32" t="s">
        <v>66</v>
      </c>
    </row>
    <row r="9" s="14" customFormat="1" ht="15.5" spans="1:6">
      <c r="A9" s="14" t="s">
        <v>77</v>
      </c>
      <c r="B9" s="14" t="s">
        <v>78</v>
      </c>
      <c r="C9" s="31">
        <v>95</v>
      </c>
      <c r="D9" s="31">
        <v>3.8</v>
      </c>
      <c r="F9" s="32" t="s">
        <v>66</v>
      </c>
    </row>
    <row r="10" s="14" customFormat="1" ht="15.5" spans="1:6">
      <c r="A10" s="14" t="s">
        <v>79</v>
      </c>
      <c r="B10" s="14" t="s">
        <v>78</v>
      </c>
      <c r="C10" s="31">
        <v>95</v>
      </c>
      <c r="D10" s="31">
        <v>3.8</v>
      </c>
      <c r="F10" s="32" t="s">
        <v>66</v>
      </c>
    </row>
    <row r="11" s="14" customFormat="1" ht="15.5" spans="1:6">
      <c r="A11" s="14" t="s">
        <v>80</v>
      </c>
      <c r="B11" s="14" t="s">
        <v>78</v>
      </c>
      <c r="C11" s="31">
        <v>95</v>
      </c>
      <c r="D11" s="31">
        <v>3.8</v>
      </c>
      <c r="F11" s="32" t="s">
        <v>66</v>
      </c>
    </row>
    <row r="12" s="14" customFormat="1" ht="15.5" spans="1:6">
      <c r="A12" s="14" t="s">
        <v>81</v>
      </c>
      <c r="B12" s="14" t="s">
        <v>78</v>
      </c>
      <c r="C12" s="31">
        <v>95</v>
      </c>
      <c r="D12" s="31">
        <v>3.8</v>
      </c>
      <c r="F12" s="32" t="s">
        <v>66</v>
      </c>
    </row>
    <row r="13" s="14" customFormat="1" ht="15.5" spans="1:6">
      <c r="A13" s="14" t="s">
        <v>82</v>
      </c>
      <c r="B13" s="14" t="s">
        <v>78</v>
      </c>
      <c r="C13" s="31">
        <v>95</v>
      </c>
      <c r="D13" s="31">
        <v>3.8</v>
      </c>
      <c r="F13" s="32" t="s">
        <v>66</v>
      </c>
    </row>
    <row r="14" s="14" customFormat="1" ht="15.5" spans="1:6">
      <c r="A14" s="14" t="s">
        <v>83</v>
      </c>
      <c r="B14" s="14" t="s">
        <v>78</v>
      </c>
      <c r="C14" s="31">
        <v>95</v>
      </c>
      <c r="D14" s="31">
        <v>3.8</v>
      </c>
      <c r="F14" s="32" t="s">
        <v>66</v>
      </c>
    </row>
    <row r="15" s="14" customFormat="1" ht="15.5" spans="1:6">
      <c r="A15" s="14" t="s">
        <v>84</v>
      </c>
      <c r="B15" s="14" t="s">
        <v>85</v>
      </c>
      <c r="C15" s="31">
        <v>598</v>
      </c>
      <c r="D15" s="31">
        <v>23.92</v>
      </c>
      <c r="F15" s="32" t="s">
        <v>66</v>
      </c>
    </row>
    <row r="16" s="14" customFormat="1" ht="15.5" spans="1:6">
      <c r="A16" s="14" t="s">
        <v>86</v>
      </c>
      <c r="B16" s="14" t="s">
        <v>87</v>
      </c>
      <c r="C16" s="31">
        <v>598</v>
      </c>
      <c r="D16" s="31">
        <v>23.92</v>
      </c>
      <c r="F16" s="32" t="s">
        <v>66</v>
      </c>
    </row>
    <row r="17" s="14" customFormat="1" ht="15.5" spans="1:6">
      <c r="A17" s="14" t="s">
        <v>88</v>
      </c>
      <c r="B17" s="14" t="s">
        <v>89</v>
      </c>
      <c r="C17" s="31">
        <v>398</v>
      </c>
      <c r="D17" s="31">
        <v>15.92</v>
      </c>
      <c r="F17" s="32" t="s">
        <v>66</v>
      </c>
    </row>
    <row r="18" s="14" customFormat="1" ht="15.5" spans="1:6">
      <c r="A18" s="14" t="s">
        <v>90</v>
      </c>
      <c r="B18" s="14" t="s">
        <v>91</v>
      </c>
      <c r="C18" s="31">
        <v>398</v>
      </c>
      <c r="D18" s="31">
        <v>15.92</v>
      </c>
      <c r="F18" s="32" t="s">
        <v>66</v>
      </c>
    </row>
    <row r="19" s="14" customFormat="1" ht="15.5" spans="1:6">
      <c r="A19" s="14" t="s">
        <v>92</v>
      </c>
      <c r="B19" s="14" t="s">
        <v>93</v>
      </c>
      <c r="C19" s="31">
        <v>398</v>
      </c>
      <c r="D19" s="31">
        <v>15.92</v>
      </c>
      <c r="F19" s="32" t="s">
        <v>66</v>
      </c>
    </row>
    <row r="20" s="14" customFormat="1" ht="15.5" spans="1:6">
      <c r="A20" s="14" t="s">
        <v>94</v>
      </c>
      <c r="B20" s="14" t="s">
        <v>95</v>
      </c>
      <c r="C20" s="31">
        <v>95</v>
      </c>
      <c r="D20" s="31">
        <v>3.8</v>
      </c>
      <c r="F20" s="32" t="s">
        <v>66</v>
      </c>
    </row>
    <row r="21" s="14" customFormat="1" ht="15.5" spans="1:6">
      <c r="A21" s="14" t="s">
        <v>96</v>
      </c>
      <c r="B21" s="14" t="s">
        <v>95</v>
      </c>
      <c r="C21" s="31">
        <v>95</v>
      </c>
      <c r="D21" s="31">
        <v>3.8</v>
      </c>
      <c r="F21" s="32" t="s">
        <v>66</v>
      </c>
    </row>
    <row r="22" s="14" customFormat="1" ht="15.5" spans="1:6">
      <c r="A22" s="14" t="s">
        <v>97</v>
      </c>
      <c r="B22" s="14" t="s">
        <v>95</v>
      </c>
      <c r="C22" s="31">
        <v>95</v>
      </c>
      <c r="D22" s="31">
        <v>3.8</v>
      </c>
      <c r="F22" s="32" t="s">
        <v>66</v>
      </c>
    </row>
    <row r="23" s="14" customFormat="1" ht="15.5" spans="1:6">
      <c r="A23" s="14" t="s">
        <v>98</v>
      </c>
      <c r="B23" s="14" t="s">
        <v>95</v>
      </c>
      <c r="C23" s="31">
        <v>95</v>
      </c>
      <c r="D23" s="31">
        <v>3.8</v>
      </c>
      <c r="F23" s="32" t="s">
        <v>66</v>
      </c>
    </row>
    <row r="24" s="14" customFormat="1" ht="15.5" spans="1:6">
      <c r="A24" s="14" t="s">
        <v>99</v>
      </c>
      <c r="B24" s="14" t="s">
        <v>100</v>
      </c>
      <c r="C24" s="31">
        <v>598</v>
      </c>
      <c r="D24" s="31">
        <v>23.92</v>
      </c>
      <c r="F24" s="32" t="s">
        <v>66</v>
      </c>
    </row>
    <row r="25" s="14" customFormat="1" ht="15.5" spans="1:6">
      <c r="A25" s="14" t="s">
        <v>101</v>
      </c>
      <c r="B25" s="14" t="s">
        <v>95</v>
      </c>
      <c r="C25" s="31">
        <v>95</v>
      </c>
      <c r="D25" s="31">
        <v>3.8</v>
      </c>
      <c r="F25" s="32" t="s">
        <v>66</v>
      </c>
    </row>
    <row r="26" s="14" customFormat="1" ht="15.5" spans="1:6">
      <c r="A26" s="14" t="s">
        <v>102</v>
      </c>
      <c r="B26" s="14" t="s">
        <v>95</v>
      </c>
      <c r="C26" s="31">
        <v>95</v>
      </c>
      <c r="D26" s="31">
        <v>3.8</v>
      </c>
      <c r="F26" s="32" t="s">
        <v>66</v>
      </c>
    </row>
    <row r="27" s="14" customFormat="1" ht="15.5" spans="1:6">
      <c r="A27" s="14" t="s">
        <v>103</v>
      </c>
      <c r="B27" s="14" t="s">
        <v>95</v>
      </c>
      <c r="C27" s="31">
        <v>95</v>
      </c>
      <c r="D27" s="31">
        <v>3.8</v>
      </c>
      <c r="F27" s="32" t="s">
        <v>66</v>
      </c>
    </row>
    <row r="28" s="14" customFormat="1" ht="15.5" spans="1:6">
      <c r="A28" s="14" t="s">
        <v>104</v>
      </c>
      <c r="B28" s="14" t="s">
        <v>95</v>
      </c>
      <c r="C28" s="31">
        <v>95</v>
      </c>
      <c r="D28" s="31">
        <v>3.8</v>
      </c>
      <c r="F28" s="32" t="s">
        <v>66</v>
      </c>
    </row>
    <row r="29" s="14" customFormat="1" ht="15.5" spans="1:6">
      <c r="A29" s="14" t="s">
        <v>105</v>
      </c>
      <c r="B29" s="14" t="s">
        <v>106</v>
      </c>
      <c r="C29" s="31">
        <v>338</v>
      </c>
      <c r="D29" s="31">
        <v>13.52</v>
      </c>
      <c r="F29" s="32" t="s">
        <v>66</v>
      </c>
    </row>
    <row r="30" s="14" customFormat="1" ht="15.5" spans="1:6">
      <c r="A30" s="14" t="s">
        <v>107</v>
      </c>
      <c r="B30" s="14" t="s">
        <v>108</v>
      </c>
      <c r="C30" s="31">
        <v>598</v>
      </c>
      <c r="D30" s="31">
        <v>23.92</v>
      </c>
      <c r="F30" s="32" t="s">
        <v>66</v>
      </c>
    </row>
    <row r="31" s="14" customFormat="1" ht="15.5" spans="1:6">
      <c r="A31" s="14" t="s">
        <v>109</v>
      </c>
      <c r="B31" s="14" t="s">
        <v>110</v>
      </c>
      <c r="C31" s="31">
        <v>356</v>
      </c>
      <c r="D31" s="31">
        <v>17.8</v>
      </c>
      <c r="F31" s="32" t="s">
        <v>66</v>
      </c>
    </row>
    <row r="32" s="14" customFormat="1" ht="15.5" spans="1:6">
      <c r="A32" s="14" t="s">
        <v>111</v>
      </c>
      <c r="B32" s="14" t="s">
        <v>112</v>
      </c>
      <c r="C32" s="31">
        <v>95</v>
      </c>
      <c r="D32" s="31">
        <v>3.8</v>
      </c>
      <c r="F32" s="32" t="s">
        <v>66</v>
      </c>
    </row>
    <row r="33" s="14" customFormat="1" ht="15.5" spans="1:6">
      <c r="A33" s="14" t="s">
        <v>113</v>
      </c>
      <c r="B33" s="14" t="s">
        <v>112</v>
      </c>
      <c r="C33" s="31">
        <v>95</v>
      </c>
      <c r="D33" s="31">
        <v>3.8</v>
      </c>
      <c r="F33" s="32" t="s">
        <v>66</v>
      </c>
    </row>
    <row r="34" s="14" customFormat="1" ht="15.5" spans="1:6">
      <c r="A34" s="14" t="s">
        <v>114</v>
      </c>
      <c r="B34" s="14" t="s">
        <v>112</v>
      </c>
      <c r="C34" s="31">
        <v>95</v>
      </c>
      <c r="D34" s="31">
        <v>3.8</v>
      </c>
      <c r="F34" s="32" t="s">
        <v>66</v>
      </c>
    </row>
    <row r="35" s="14" customFormat="1" ht="15.5" spans="1:6">
      <c r="A35" s="14" t="s">
        <v>115</v>
      </c>
      <c r="B35" s="14" t="s">
        <v>112</v>
      </c>
      <c r="C35" s="31">
        <v>95</v>
      </c>
      <c r="D35" s="31">
        <v>3.8</v>
      </c>
      <c r="F35" s="32" t="s">
        <v>66</v>
      </c>
    </row>
    <row r="36" s="14" customFormat="1" ht="15.5" spans="1:6">
      <c r="A36" s="14" t="s">
        <v>116</v>
      </c>
      <c r="B36" s="14" t="s">
        <v>112</v>
      </c>
      <c r="C36" s="31">
        <v>95</v>
      </c>
      <c r="D36" s="31">
        <v>3.8</v>
      </c>
      <c r="F36" s="32" t="s">
        <v>66</v>
      </c>
    </row>
    <row r="37" s="14" customFormat="1" ht="15.5" spans="1:6">
      <c r="A37" s="14" t="s">
        <v>117</v>
      </c>
      <c r="B37" s="14" t="s">
        <v>112</v>
      </c>
      <c r="C37" s="31">
        <v>95</v>
      </c>
      <c r="D37" s="31">
        <v>3.8</v>
      </c>
      <c r="F37" s="32" t="s">
        <v>66</v>
      </c>
    </row>
    <row r="38" s="14" customFormat="1" ht="15.5" spans="1:6">
      <c r="A38" s="14" t="s">
        <v>118</v>
      </c>
      <c r="B38" s="14" t="s">
        <v>119</v>
      </c>
      <c r="C38" s="31">
        <v>95</v>
      </c>
      <c r="D38" s="31">
        <v>3.8</v>
      </c>
      <c r="F38" s="32" t="s">
        <v>66</v>
      </c>
    </row>
    <row r="39" s="14" customFormat="1" ht="15.5" spans="1:6">
      <c r="A39" s="14" t="s">
        <v>120</v>
      </c>
      <c r="B39" s="14" t="s">
        <v>119</v>
      </c>
      <c r="C39" s="31">
        <v>95</v>
      </c>
      <c r="D39" s="31">
        <v>3.8</v>
      </c>
      <c r="F39" s="32" t="s">
        <v>66</v>
      </c>
    </row>
    <row r="40" s="14" customFormat="1" ht="15.5" spans="1:6">
      <c r="A40" s="14" t="s">
        <v>121</v>
      </c>
      <c r="B40" s="14" t="s">
        <v>122</v>
      </c>
      <c r="C40" s="31">
        <v>95</v>
      </c>
      <c r="D40" s="31">
        <v>3.8</v>
      </c>
      <c r="F40" s="32" t="s">
        <v>66</v>
      </c>
    </row>
    <row r="41" s="14" customFormat="1" ht="15.5" spans="1:6">
      <c r="A41" s="14" t="s">
        <v>123</v>
      </c>
      <c r="B41" s="14" t="s">
        <v>119</v>
      </c>
      <c r="C41" s="31">
        <v>95</v>
      </c>
      <c r="D41" s="31">
        <v>3.8</v>
      </c>
      <c r="F41" s="32" t="s">
        <v>66</v>
      </c>
    </row>
    <row r="42" s="14" customFormat="1" ht="15.5" spans="1:6">
      <c r="A42" s="14" t="s">
        <v>124</v>
      </c>
      <c r="B42" s="14" t="s">
        <v>125</v>
      </c>
      <c r="C42" s="31">
        <v>598</v>
      </c>
      <c r="D42" s="31">
        <v>23.92</v>
      </c>
      <c r="F42" s="32" t="s">
        <v>66</v>
      </c>
    </row>
    <row r="43" s="14" customFormat="1" ht="15.5" spans="1:6">
      <c r="A43" s="14" t="s">
        <v>126</v>
      </c>
      <c r="B43" s="14" t="s">
        <v>119</v>
      </c>
      <c r="C43" s="31">
        <v>95</v>
      </c>
      <c r="D43" s="31">
        <v>3.8</v>
      </c>
      <c r="F43" s="32" t="s">
        <v>66</v>
      </c>
    </row>
    <row r="44" s="14" customFormat="1" ht="15.5" spans="1:6">
      <c r="A44" s="14" t="s">
        <v>127</v>
      </c>
      <c r="B44" s="14" t="s">
        <v>122</v>
      </c>
      <c r="C44" s="31">
        <v>95</v>
      </c>
      <c r="D44" s="31">
        <v>3.8</v>
      </c>
      <c r="F44" s="32" t="s">
        <v>66</v>
      </c>
    </row>
    <row r="45" s="14" customFormat="1" ht="15.5" spans="1:6">
      <c r="A45" s="14" t="s">
        <v>128</v>
      </c>
      <c r="B45" s="14" t="s">
        <v>129</v>
      </c>
      <c r="C45" s="31">
        <v>598</v>
      </c>
      <c r="D45" s="31">
        <v>23.92</v>
      </c>
      <c r="F45" s="32" t="s">
        <v>66</v>
      </c>
    </row>
    <row r="46" s="14" customFormat="1" ht="15.5" spans="1:6">
      <c r="A46" s="14" t="s">
        <v>130</v>
      </c>
      <c r="B46" s="14" t="s">
        <v>119</v>
      </c>
      <c r="C46" s="31">
        <v>95</v>
      </c>
      <c r="D46" s="31">
        <v>3.8</v>
      </c>
      <c r="F46" s="32" t="s">
        <v>66</v>
      </c>
    </row>
    <row r="47" s="14" customFormat="1" ht="15.5" spans="1:6">
      <c r="A47" s="14" t="s">
        <v>131</v>
      </c>
      <c r="B47" s="14" t="s">
        <v>132</v>
      </c>
      <c r="C47" s="31">
        <v>398</v>
      </c>
      <c r="D47" s="31">
        <v>15.92</v>
      </c>
      <c r="F47" s="32" t="s">
        <v>66</v>
      </c>
    </row>
    <row r="48" s="14" customFormat="1" ht="15.5" spans="1:6">
      <c r="A48" s="14" t="s">
        <v>133</v>
      </c>
      <c r="B48" s="14" t="s">
        <v>134</v>
      </c>
      <c r="C48" s="31">
        <v>168</v>
      </c>
      <c r="D48" s="31">
        <v>6.72</v>
      </c>
      <c r="F48" s="32" t="s">
        <v>66</v>
      </c>
    </row>
    <row r="49" s="14" customFormat="1" ht="15.5" spans="1:6">
      <c r="A49" s="14" t="s">
        <v>135</v>
      </c>
      <c r="B49" s="14" t="s">
        <v>136</v>
      </c>
      <c r="C49" s="31">
        <v>95</v>
      </c>
      <c r="D49" s="31">
        <v>3.8</v>
      </c>
      <c r="F49" s="32" t="s">
        <v>66</v>
      </c>
    </row>
    <row r="50" s="14" customFormat="1" ht="15.5" spans="1:6">
      <c r="A50" s="14" t="s">
        <v>137</v>
      </c>
      <c r="B50" s="14" t="s">
        <v>136</v>
      </c>
      <c r="C50" s="31">
        <v>95</v>
      </c>
      <c r="D50" s="31">
        <v>3.8</v>
      </c>
      <c r="F50" s="32" t="s">
        <v>66</v>
      </c>
    </row>
    <row r="51" s="14" customFormat="1" ht="15.5" spans="1:6">
      <c r="A51" s="14" t="s">
        <v>138</v>
      </c>
      <c r="B51" s="14" t="s">
        <v>139</v>
      </c>
      <c r="C51" s="31">
        <v>95</v>
      </c>
      <c r="D51" s="31">
        <v>3.8</v>
      </c>
      <c r="F51" s="32" t="s">
        <v>66</v>
      </c>
    </row>
    <row r="52" s="14" customFormat="1" ht="15.5" spans="1:6">
      <c r="A52" s="14" t="s">
        <v>140</v>
      </c>
      <c r="B52" s="14" t="s">
        <v>139</v>
      </c>
      <c r="C52" s="31">
        <v>95</v>
      </c>
      <c r="D52" s="31">
        <v>3.8</v>
      </c>
      <c r="F52" s="32" t="s">
        <v>66</v>
      </c>
    </row>
    <row r="53" s="14" customFormat="1" ht="15.5" spans="1:6">
      <c r="A53" s="14" t="s">
        <v>141</v>
      </c>
      <c r="B53" s="14" t="s">
        <v>139</v>
      </c>
      <c r="C53" s="31">
        <v>95</v>
      </c>
      <c r="D53" s="31">
        <v>3.8</v>
      </c>
      <c r="F53" s="32" t="s">
        <v>66</v>
      </c>
    </row>
    <row r="54" s="14" customFormat="1" ht="15.5" spans="1:6">
      <c r="A54" s="14" t="s">
        <v>142</v>
      </c>
      <c r="B54" s="14" t="s">
        <v>139</v>
      </c>
      <c r="C54" s="31">
        <v>95</v>
      </c>
      <c r="D54" s="31">
        <v>3.8</v>
      </c>
      <c r="F54" s="32" t="s">
        <v>66</v>
      </c>
    </row>
    <row r="55" s="14" customFormat="1" ht="15.5" spans="1:6">
      <c r="A55" s="14" t="s">
        <v>143</v>
      </c>
      <c r="B55" s="14" t="s">
        <v>139</v>
      </c>
      <c r="C55" s="31">
        <v>95</v>
      </c>
      <c r="D55" s="31">
        <v>3.8</v>
      </c>
      <c r="F55" s="32" t="s">
        <v>66</v>
      </c>
    </row>
    <row r="56" s="14" customFormat="1" ht="15.5" spans="1:6">
      <c r="A56" s="14" t="s">
        <v>144</v>
      </c>
      <c r="B56" s="14" t="s">
        <v>145</v>
      </c>
      <c r="C56" s="31">
        <v>95</v>
      </c>
      <c r="D56" s="31">
        <v>3.8</v>
      </c>
      <c r="F56" s="32" t="s">
        <v>66</v>
      </c>
    </row>
    <row r="57" s="14" customFormat="1" ht="15.5" spans="1:6">
      <c r="A57" s="14" t="s">
        <v>146</v>
      </c>
      <c r="B57" s="14" t="s">
        <v>145</v>
      </c>
      <c r="C57" s="31">
        <v>95</v>
      </c>
      <c r="D57" s="31">
        <v>3.8</v>
      </c>
      <c r="F57" s="32" t="s">
        <v>66</v>
      </c>
    </row>
    <row r="58" s="14" customFormat="1" ht="15.5" spans="1:6">
      <c r="A58" s="14" t="s">
        <v>147</v>
      </c>
      <c r="B58" s="14" t="s">
        <v>145</v>
      </c>
      <c r="C58" s="31">
        <v>95</v>
      </c>
      <c r="D58" s="31">
        <v>3.8</v>
      </c>
      <c r="F58" s="32" t="s">
        <v>66</v>
      </c>
    </row>
    <row r="59" s="14" customFormat="1" ht="15.5" spans="1:6">
      <c r="A59" s="14" t="s">
        <v>148</v>
      </c>
      <c r="B59" s="14" t="s">
        <v>145</v>
      </c>
      <c r="C59" s="31">
        <v>95</v>
      </c>
      <c r="D59" s="31">
        <v>3.8</v>
      </c>
      <c r="F59" s="32" t="s">
        <v>66</v>
      </c>
    </row>
    <row r="60" s="14" customFormat="1" ht="15.5" spans="1:6">
      <c r="A60" s="14" t="s">
        <v>149</v>
      </c>
      <c r="B60" s="14" t="s">
        <v>145</v>
      </c>
      <c r="C60" s="31">
        <v>95</v>
      </c>
      <c r="D60" s="31">
        <v>3.8</v>
      </c>
      <c r="F60" s="32" t="s">
        <v>66</v>
      </c>
    </row>
    <row r="61" s="14" customFormat="1" ht="15.5" spans="1:6">
      <c r="A61" s="14" t="s">
        <v>150</v>
      </c>
      <c r="B61" s="14" t="s">
        <v>145</v>
      </c>
      <c r="C61" s="31">
        <v>95</v>
      </c>
      <c r="D61" s="31">
        <v>3.8</v>
      </c>
      <c r="F61" s="32" t="s">
        <v>66</v>
      </c>
    </row>
    <row r="62" s="14" customFormat="1" ht="15.5" spans="1:6">
      <c r="A62" s="14" t="s">
        <v>151</v>
      </c>
      <c r="B62" s="14" t="s">
        <v>145</v>
      </c>
      <c r="C62" s="31">
        <v>95</v>
      </c>
      <c r="D62" s="31">
        <v>3.8</v>
      </c>
      <c r="F62" s="32" t="s">
        <v>66</v>
      </c>
    </row>
    <row r="63" s="14" customFormat="1" ht="15.5" spans="1:6">
      <c r="A63" s="14" t="s">
        <v>152</v>
      </c>
      <c r="B63" s="14" t="s">
        <v>145</v>
      </c>
      <c r="C63" s="31">
        <v>95</v>
      </c>
      <c r="D63" s="31">
        <v>3.8</v>
      </c>
      <c r="F63" s="32" t="s">
        <v>66</v>
      </c>
    </row>
    <row r="64" s="14" customFormat="1" ht="15.5" spans="1:6">
      <c r="A64" s="14" t="s">
        <v>153</v>
      </c>
      <c r="B64" s="14" t="s">
        <v>145</v>
      </c>
      <c r="C64" s="31">
        <v>95</v>
      </c>
      <c r="D64" s="31">
        <v>3.8</v>
      </c>
      <c r="F64" s="32" t="s">
        <v>66</v>
      </c>
    </row>
    <row r="65" s="14" customFormat="1" ht="15.5" spans="1:6">
      <c r="A65" s="14" t="s">
        <v>154</v>
      </c>
      <c r="B65" s="14" t="s">
        <v>155</v>
      </c>
      <c r="C65" s="31">
        <v>95</v>
      </c>
      <c r="D65" s="31">
        <v>3.8</v>
      </c>
      <c r="F65" s="32" t="s">
        <v>66</v>
      </c>
    </row>
    <row r="66" s="14" customFormat="1" ht="15.5" spans="1:6">
      <c r="A66" s="14" t="s">
        <v>156</v>
      </c>
      <c r="B66" s="14" t="s">
        <v>157</v>
      </c>
      <c r="C66" s="31">
        <v>95</v>
      </c>
      <c r="D66" s="31">
        <v>3.8</v>
      </c>
      <c r="F66" s="32" t="s">
        <v>66</v>
      </c>
    </row>
    <row r="67" s="14" customFormat="1" ht="15.5" spans="1:6">
      <c r="A67" s="14" t="s">
        <v>158</v>
      </c>
      <c r="B67" s="14" t="s">
        <v>159</v>
      </c>
      <c r="C67" s="31">
        <v>398</v>
      </c>
      <c r="D67" s="31">
        <v>15.92</v>
      </c>
      <c r="F67" s="32" t="s">
        <v>66</v>
      </c>
    </row>
    <row r="68" s="14" customFormat="1" ht="15.5" spans="1:6">
      <c r="A68" s="14" t="s">
        <v>160</v>
      </c>
      <c r="B68" s="14" t="s">
        <v>155</v>
      </c>
      <c r="C68" s="31">
        <v>95</v>
      </c>
      <c r="D68" s="31">
        <v>3.8</v>
      </c>
      <c r="F68" s="32" t="s">
        <v>66</v>
      </c>
    </row>
    <row r="69" s="14" customFormat="1" ht="15.5" spans="1:6">
      <c r="A69" s="14" t="s">
        <v>161</v>
      </c>
      <c r="B69" s="14" t="s">
        <v>157</v>
      </c>
      <c r="C69" s="31">
        <v>95</v>
      </c>
      <c r="D69" s="31">
        <v>3.8</v>
      </c>
      <c r="F69" s="32" t="s">
        <v>66</v>
      </c>
    </row>
    <row r="70" s="14" customFormat="1" ht="15.5" spans="1:6">
      <c r="A70" s="14" t="s">
        <v>162</v>
      </c>
      <c r="B70" s="14" t="s">
        <v>155</v>
      </c>
      <c r="C70" s="31">
        <v>95</v>
      </c>
      <c r="D70" s="31">
        <v>3.8</v>
      </c>
      <c r="F70" s="32" t="s">
        <v>66</v>
      </c>
    </row>
    <row r="71" s="14" customFormat="1" ht="15.5" spans="1:6">
      <c r="A71" s="14" t="s">
        <v>163</v>
      </c>
      <c r="B71" s="14" t="s">
        <v>164</v>
      </c>
      <c r="C71" s="31">
        <v>95</v>
      </c>
      <c r="D71" s="31">
        <v>3.8</v>
      </c>
      <c r="F71" s="32" t="s">
        <v>66</v>
      </c>
    </row>
    <row r="72" s="14" customFormat="1" ht="15.5" spans="1:6">
      <c r="A72" s="14" t="s">
        <v>165</v>
      </c>
      <c r="B72" s="14" t="s">
        <v>166</v>
      </c>
      <c r="C72" s="31">
        <v>598</v>
      </c>
      <c r="D72" s="31">
        <v>23.92</v>
      </c>
      <c r="F72" s="32" t="s">
        <v>66</v>
      </c>
    </row>
    <row r="73" s="14" customFormat="1" ht="15.5" spans="1:6">
      <c r="A73" s="14" t="s">
        <v>167</v>
      </c>
      <c r="B73" s="14" t="s">
        <v>157</v>
      </c>
      <c r="C73" s="31">
        <v>95</v>
      </c>
      <c r="D73" s="31">
        <v>3.8</v>
      </c>
      <c r="F73" s="32" t="s">
        <v>66</v>
      </c>
    </row>
    <row r="74" s="14" customFormat="1" ht="15.5" spans="1:6">
      <c r="A74" s="14" t="s">
        <v>168</v>
      </c>
      <c r="B74" s="14" t="s">
        <v>157</v>
      </c>
      <c r="C74" s="31">
        <v>95</v>
      </c>
      <c r="D74" s="31">
        <v>3.8</v>
      </c>
      <c r="F74" s="32" t="s">
        <v>66</v>
      </c>
    </row>
    <row r="75" s="14" customFormat="1" ht="15.5" spans="1:6">
      <c r="A75" s="14" t="s">
        <v>169</v>
      </c>
      <c r="B75" s="14" t="s">
        <v>157</v>
      </c>
      <c r="C75" s="31">
        <v>95</v>
      </c>
      <c r="D75" s="31">
        <v>3.8</v>
      </c>
      <c r="F75" s="32" t="s">
        <v>66</v>
      </c>
    </row>
    <row r="76" s="14" customFormat="1" ht="15.5" spans="1:6">
      <c r="A76" s="14" t="s">
        <v>170</v>
      </c>
      <c r="B76" s="14" t="s">
        <v>164</v>
      </c>
      <c r="C76" s="31">
        <v>95</v>
      </c>
      <c r="D76" s="31">
        <v>3.8</v>
      </c>
      <c r="F76" s="32" t="s">
        <v>66</v>
      </c>
    </row>
    <row r="77" s="14" customFormat="1" ht="15.5" spans="1:6">
      <c r="A77" s="14" t="s">
        <v>171</v>
      </c>
      <c r="B77" s="14" t="s">
        <v>164</v>
      </c>
      <c r="C77" s="31">
        <v>95</v>
      </c>
      <c r="D77" s="31">
        <v>3.8</v>
      </c>
      <c r="F77" s="32" t="s">
        <v>66</v>
      </c>
    </row>
    <row r="78" s="14" customFormat="1" ht="15.5" spans="1:6">
      <c r="A78" s="14" t="s">
        <v>172</v>
      </c>
      <c r="B78" s="14" t="s">
        <v>155</v>
      </c>
      <c r="C78" s="31">
        <v>95</v>
      </c>
      <c r="D78" s="31">
        <v>3.8</v>
      </c>
      <c r="F78" s="32" t="s">
        <v>66</v>
      </c>
    </row>
    <row r="79" s="14" customFormat="1" ht="15.5" spans="1:6">
      <c r="A79" s="14" t="s">
        <v>173</v>
      </c>
      <c r="B79" s="14" t="s">
        <v>155</v>
      </c>
      <c r="C79" s="31">
        <v>95</v>
      </c>
      <c r="D79" s="31">
        <v>3.8</v>
      </c>
      <c r="F79" s="32" t="s">
        <v>66</v>
      </c>
    </row>
    <row r="80" s="14" customFormat="1" ht="15.5" spans="1:6">
      <c r="A80" s="14" t="s">
        <v>174</v>
      </c>
      <c r="B80" s="14" t="s">
        <v>155</v>
      </c>
      <c r="C80" s="31">
        <v>95</v>
      </c>
      <c r="D80" s="31">
        <v>3.8</v>
      </c>
      <c r="F80" s="32" t="s">
        <v>66</v>
      </c>
    </row>
    <row r="81" s="14" customFormat="1" ht="15.5" spans="1:6">
      <c r="A81" s="14" t="s">
        <v>175</v>
      </c>
      <c r="B81" s="14" t="s">
        <v>155</v>
      </c>
      <c r="C81" s="31">
        <v>95</v>
      </c>
      <c r="D81" s="31">
        <v>3.8</v>
      </c>
      <c r="F81" s="32" t="s">
        <v>66</v>
      </c>
    </row>
    <row r="82" s="14" customFormat="1" ht="15.5" spans="1:6">
      <c r="A82" s="14" t="s">
        <v>176</v>
      </c>
      <c r="B82" s="14" t="s">
        <v>177</v>
      </c>
      <c r="C82" s="31">
        <v>688</v>
      </c>
      <c r="D82" s="31">
        <v>41.28</v>
      </c>
      <c r="F82" s="32" t="s">
        <v>66</v>
      </c>
    </row>
    <row r="83" s="14" customFormat="1" ht="15.5" spans="1:6">
      <c r="A83" s="14" t="s">
        <v>178</v>
      </c>
      <c r="B83" s="14" t="s">
        <v>179</v>
      </c>
      <c r="C83" s="31">
        <v>95</v>
      </c>
      <c r="D83" s="31">
        <v>3.8</v>
      </c>
      <c r="F83" s="32" t="s">
        <v>66</v>
      </c>
    </row>
    <row r="84" s="14" customFormat="1" ht="15.5" spans="1:6">
      <c r="A84" s="14" t="s">
        <v>180</v>
      </c>
      <c r="B84" s="14" t="s">
        <v>179</v>
      </c>
      <c r="C84" s="31">
        <v>95</v>
      </c>
      <c r="D84" s="31">
        <v>3.8</v>
      </c>
      <c r="F84" s="32" t="s">
        <v>66</v>
      </c>
    </row>
    <row r="85" s="14" customFormat="1" ht="15.5" spans="1:6">
      <c r="A85" s="14" t="s">
        <v>181</v>
      </c>
      <c r="B85" s="14" t="s">
        <v>179</v>
      </c>
      <c r="C85" s="31">
        <v>95</v>
      </c>
      <c r="D85" s="31">
        <v>3.8</v>
      </c>
      <c r="F85" s="32" t="s">
        <v>66</v>
      </c>
    </row>
    <row r="86" s="14" customFormat="1" ht="15.5" spans="1:6">
      <c r="A86" s="14" t="s">
        <v>182</v>
      </c>
      <c r="B86" s="14" t="s">
        <v>179</v>
      </c>
      <c r="C86" s="31">
        <v>95</v>
      </c>
      <c r="D86" s="31">
        <v>3.8</v>
      </c>
      <c r="F86" s="32" t="s">
        <v>66</v>
      </c>
    </row>
    <row r="87" s="14" customFormat="1" ht="15.5" spans="1:6">
      <c r="A87" s="14" t="s">
        <v>183</v>
      </c>
      <c r="B87" s="14" t="s">
        <v>179</v>
      </c>
      <c r="C87" s="31">
        <v>95</v>
      </c>
      <c r="D87" s="31">
        <v>3.8</v>
      </c>
      <c r="F87" s="32" t="s">
        <v>66</v>
      </c>
    </row>
    <row r="88" s="14" customFormat="1" ht="15.5" spans="1:6">
      <c r="A88" s="14" t="s">
        <v>184</v>
      </c>
      <c r="B88" s="14" t="s">
        <v>179</v>
      </c>
      <c r="C88" s="31">
        <v>95</v>
      </c>
      <c r="D88" s="31">
        <v>3.8</v>
      </c>
      <c r="F88" s="32" t="s">
        <v>66</v>
      </c>
    </row>
    <row r="89" s="14" customFormat="1" ht="15.5" spans="1:6">
      <c r="A89" s="14" t="s">
        <v>185</v>
      </c>
      <c r="B89" s="14" t="s">
        <v>179</v>
      </c>
      <c r="C89" s="31">
        <v>95</v>
      </c>
      <c r="D89" s="31">
        <v>3.8</v>
      </c>
      <c r="F89" s="32" t="s">
        <v>66</v>
      </c>
    </row>
    <row r="90" s="14" customFormat="1" ht="15.5" spans="1:6">
      <c r="A90" s="14" t="s">
        <v>186</v>
      </c>
      <c r="B90" s="14" t="s">
        <v>187</v>
      </c>
      <c r="C90" s="31">
        <v>168</v>
      </c>
      <c r="D90" s="31">
        <v>6.72</v>
      </c>
      <c r="F90" s="32" t="s">
        <v>66</v>
      </c>
    </row>
    <row r="91" s="14" customFormat="1" ht="15.5" spans="1:6">
      <c r="A91" s="14" t="s">
        <v>188</v>
      </c>
      <c r="B91" s="14" t="s">
        <v>187</v>
      </c>
      <c r="C91" s="31">
        <v>168</v>
      </c>
      <c r="D91" s="31">
        <v>6.72</v>
      </c>
      <c r="F91" s="32" t="s">
        <v>66</v>
      </c>
    </row>
    <row r="92" s="14" customFormat="1" ht="15.5" spans="1:6">
      <c r="A92" s="14" t="s">
        <v>189</v>
      </c>
      <c r="B92" s="14" t="s">
        <v>190</v>
      </c>
      <c r="C92" s="31">
        <v>398</v>
      </c>
      <c r="D92" s="31">
        <v>15.92</v>
      </c>
      <c r="F92" s="32" t="s">
        <v>66</v>
      </c>
    </row>
    <row r="93" s="14" customFormat="1" ht="15.5" spans="1:6">
      <c r="A93" s="14" t="s">
        <v>191</v>
      </c>
      <c r="B93" s="14" t="s">
        <v>192</v>
      </c>
      <c r="C93" s="31">
        <v>95</v>
      </c>
      <c r="D93" s="31">
        <v>3.8</v>
      </c>
      <c r="F93" s="32" t="s">
        <v>66</v>
      </c>
    </row>
    <row r="94" s="14" customFormat="1" ht="15.5" spans="1:6">
      <c r="A94" s="14" t="s">
        <v>193</v>
      </c>
      <c r="B94" s="14" t="s">
        <v>192</v>
      </c>
      <c r="C94" s="31">
        <v>95</v>
      </c>
      <c r="D94" s="31">
        <v>3.8</v>
      </c>
      <c r="F94" s="32" t="s">
        <v>66</v>
      </c>
    </row>
    <row r="95" s="14" customFormat="1" ht="15.5" spans="1:6">
      <c r="A95" s="14" t="s">
        <v>194</v>
      </c>
      <c r="B95" s="14" t="s">
        <v>195</v>
      </c>
      <c r="C95" s="31">
        <v>598</v>
      </c>
      <c r="D95" s="31">
        <v>23.92</v>
      </c>
      <c r="F95" s="32" t="s">
        <v>66</v>
      </c>
    </row>
    <row r="96" s="14" customFormat="1" ht="15.5" spans="1:6">
      <c r="A96" s="14" t="s">
        <v>196</v>
      </c>
      <c r="B96" s="14" t="s">
        <v>192</v>
      </c>
      <c r="C96" s="31">
        <v>95</v>
      </c>
      <c r="D96" s="31">
        <v>3.8</v>
      </c>
      <c r="F96" s="32" t="s">
        <v>66</v>
      </c>
    </row>
    <row r="97" s="14" customFormat="1" ht="15.5" spans="1:6">
      <c r="A97" s="14" t="s">
        <v>197</v>
      </c>
      <c r="B97" s="14" t="s">
        <v>198</v>
      </c>
      <c r="C97" s="31">
        <v>598</v>
      </c>
      <c r="D97" s="31">
        <v>23.92</v>
      </c>
      <c r="F97" s="32" t="s">
        <v>66</v>
      </c>
    </row>
    <row r="98" s="14" customFormat="1" ht="15.5" spans="1:6">
      <c r="A98" s="14" t="s">
        <v>199</v>
      </c>
      <c r="B98" s="14" t="s">
        <v>200</v>
      </c>
      <c r="C98" s="31">
        <v>398</v>
      </c>
      <c r="D98" s="31">
        <v>15.92</v>
      </c>
      <c r="F98" s="32" t="s">
        <v>66</v>
      </c>
    </row>
    <row r="99" s="14" customFormat="1" ht="15.5" spans="1:6">
      <c r="A99" s="14" t="s">
        <v>201</v>
      </c>
      <c r="B99" s="14" t="s">
        <v>202</v>
      </c>
      <c r="C99" s="31">
        <v>598</v>
      </c>
      <c r="D99" s="31">
        <v>23.92</v>
      </c>
      <c r="F99" s="32" t="s">
        <v>66</v>
      </c>
    </row>
    <row r="100" s="14" customFormat="1" ht="15.5" spans="1:6">
      <c r="A100" s="14" t="s">
        <v>203</v>
      </c>
      <c r="B100" s="14" t="s">
        <v>204</v>
      </c>
      <c r="C100" s="31">
        <v>398</v>
      </c>
      <c r="D100" s="31">
        <v>15.92</v>
      </c>
      <c r="F100" s="32" t="s">
        <v>66</v>
      </c>
    </row>
    <row r="101" s="14" customFormat="1" ht="15.5" spans="1:6">
      <c r="A101" s="14" t="s">
        <v>205</v>
      </c>
      <c r="B101" s="14" t="s">
        <v>206</v>
      </c>
      <c r="C101" s="31">
        <v>95</v>
      </c>
      <c r="D101" s="31">
        <v>3.8</v>
      </c>
      <c r="F101" s="32" t="s">
        <v>66</v>
      </c>
    </row>
    <row r="102" s="14" customFormat="1" ht="15.5" spans="1:6">
      <c r="A102" s="14" t="s">
        <v>207</v>
      </c>
      <c r="B102" s="14" t="s">
        <v>206</v>
      </c>
      <c r="C102" s="31">
        <v>95</v>
      </c>
      <c r="D102" s="31">
        <v>3.8</v>
      </c>
      <c r="F102" s="32" t="s">
        <v>66</v>
      </c>
    </row>
    <row r="103" s="14" customFormat="1" ht="15.5" spans="1:6">
      <c r="A103" s="14" t="s">
        <v>208</v>
      </c>
      <c r="B103" s="14" t="s">
        <v>209</v>
      </c>
      <c r="C103" s="31">
        <v>398</v>
      </c>
      <c r="D103" s="31">
        <v>15.92</v>
      </c>
      <c r="F103" s="32" t="s">
        <v>66</v>
      </c>
    </row>
    <row r="104" s="14" customFormat="1" ht="15.5" spans="1:6">
      <c r="A104" s="14" t="s">
        <v>210</v>
      </c>
      <c r="B104" s="14" t="s">
        <v>206</v>
      </c>
      <c r="C104" s="31">
        <v>95</v>
      </c>
      <c r="D104" s="31">
        <v>3.8</v>
      </c>
      <c r="F104" s="32" t="s">
        <v>66</v>
      </c>
    </row>
    <row r="105" s="14" customFormat="1" ht="15.5" spans="1:6">
      <c r="A105" s="14" t="s">
        <v>211</v>
      </c>
      <c r="B105" s="14" t="s">
        <v>206</v>
      </c>
      <c r="C105" s="31">
        <v>95</v>
      </c>
      <c r="D105" s="31">
        <v>3.8</v>
      </c>
      <c r="F105" s="32" t="s">
        <v>66</v>
      </c>
    </row>
    <row r="106" s="14" customFormat="1" ht="15.5" spans="1:6">
      <c r="A106" s="14" t="s">
        <v>212</v>
      </c>
      <c r="B106" s="14" t="s">
        <v>206</v>
      </c>
      <c r="C106" s="31">
        <v>95</v>
      </c>
      <c r="D106" s="31">
        <v>3.8</v>
      </c>
      <c r="F106" s="32" t="s">
        <v>66</v>
      </c>
    </row>
    <row r="107" s="14" customFormat="1" ht="15.5" spans="1:6">
      <c r="A107" s="14" t="s">
        <v>213</v>
      </c>
      <c r="B107" s="14" t="s">
        <v>206</v>
      </c>
      <c r="C107" s="31">
        <v>95</v>
      </c>
      <c r="D107" s="31">
        <v>3.8</v>
      </c>
      <c r="F107" s="32" t="s">
        <v>66</v>
      </c>
    </row>
    <row r="108" s="14" customFormat="1" ht="15.5" spans="1:6">
      <c r="A108" s="14" t="s">
        <v>214</v>
      </c>
      <c r="B108" s="14" t="s">
        <v>215</v>
      </c>
      <c r="C108" s="31">
        <v>95</v>
      </c>
      <c r="D108" s="31">
        <v>3.8</v>
      </c>
      <c r="F108" s="32" t="s">
        <v>66</v>
      </c>
    </row>
    <row r="109" s="14" customFormat="1" ht="15.5" spans="1:6">
      <c r="A109" s="14" t="s">
        <v>216</v>
      </c>
      <c r="B109" s="14" t="s">
        <v>206</v>
      </c>
      <c r="C109" s="31">
        <v>95</v>
      </c>
      <c r="D109" s="31">
        <v>3.8</v>
      </c>
      <c r="F109" s="32" t="s">
        <v>66</v>
      </c>
    </row>
    <row r="110" s="14" customFormat="1" ht="15.5" spans="1:6">
      <c r="A110" s="14" t="s">
        <v>217</v>
      </c>
      <c r="B110" s="14" t="s">
        <v>215</v>
      </c>
      <c r="C110" s="31">
        <v>95</v>
      </c>
      <c r="D110" s="31">
        <v>3.8</v>
      </c>
      <c r="F110" s="32" t="s">
        <v>66</v>
      </c>
    </row>
    <row r="111" s="14" customFormat="1" ht="15.5" spans="1:6">
      <c r="A111" s="14" t="s">
        <v>218</v>
      </c>
      <c r="B111" s="14" t="s">
        <v>215</v>
      </c>
      <c r="C111" s="31">
        <v>95</v>
      </c>
      <c r="D111" s="31">
        <v>3.8</v>
      </c>
      <c r="F111" s="32" t="s">
        <v>66</v>
      </c>
    </row>
    <row r="112" s="14" customFormat="1" ht="15.5" spans="1:6">
      <c r="A112" s="14" t="s">
        <v>219</v>
      </c>
      <c r="B112" s="14" t="s">
        <v>215</v>
      </c>
      <c r="C112" s="31">
        <v>95</v>
      </c>
      <c r="D112" s="31">
        <v>3.8</v>
      </c>
      <c r="F112" s="32" t="s">
        <v>66</v>
      </c>
    </row>
    <row r="113" s="14" customFormat="1" ht="15.5" spans="1:6">
      <c r="A113" s="14" t="s">
        <v>220</v>
      </c>
      <c r="B113" s="14" t="s">
        <v>215</v>
      </c>
      <c r="C113" s="31">
        <v>95</v>
      </c>
      <c r="D113" s="31">
        <v>3.8</v>
      </c>
      <c r="F113" s="32" t="s">
        <v>66</v>
      </c>
    </row>
    <row r="114" s="14" customFormat="1" ht="15.5" spans="1:6">
      <c r="A114" s="14" t="s">
        <v>221</v>
      </c>
      <c r="B114" s="14" t="s">
        <v>222</v>
      </c>
      <c r="C114" s="31">
        <v>168</v>
      </c>
      <c r="D114" s="31">
        <v>6.72</v>
      </c>
      <c r="F114" s="32" t="s">
        <v>66</v>
      </c>
    </row>
    <row r="115" s="14" customFormat="1" ht="15.5" spans="1:6">
      <c r="A115" s="14" t="s">
        <v>223</v>
      </c>
      <c r="B115" s="14" t="s">
        <v>224</v>
      </c>
      <c r="C115" s="31">
        <v>168</v>
      </c>
      <c r="D115" s="31">
        <v>6.72</v>
      </c>
      <c r="F115" s="32" t="s">
        <v>66</v>
      </c>
    </row>
    <row r="116" s="14" customFormat="1" ht="15.5" spans="1:6">
      <c r="A116" s="14" t="s">
        <v>225</v>
      </c>
      <c r="B116" s="14" t="s">
        <v>226</v>
      </c>
      <c r="C116" s="31">
        <v>95</v>
      </c>
      <c r="D116" s="31">
        <v>3.8</v>
      </c>
      <c r="F116" s="32" t="s">
        <v>66</v>
      </c>
    </row>
    <row r="117" s="14" customFormat="1" ht="15.5" spans="1:6">
      <c r="A117" s="14" t="s">
        <v>227</v>
      </c>
      <c r="B117" s="14" t="s">
        <v>228</v>
      </c>
      <c r="C117" s="31">
        <v>95</v>
      </c>
      <c r="D117" s="31">
        <v>3.8</v>
      </c>
      <c r="F117" s="32" t="s">
        <v>66</v>
      </c>
    </row>
    <row r="118" s="14" customFormat="1" ht="15.5" spans="1:6">
      <c r="A118" s="14" t="s">
        <v>229</v>
      </c>
      <c r="B118" s="14" t="s">
        <v>230</v>
      </c>
      <c r="C118" s="31">
        <v>95</v>
      </c>
      <c r="D118" s="31">
        <v>3.8</v>
      </c>
      <c r="F118" s="32" t="s">
        <v>66</v>
      </c>
    </row>
    <row r="119" s="14" customFormat="1" ht="15.5" spans="1:6">
      <c r="A119" s="14" t="s">
        <v>231</v>
      </c>
      <c r="B119" s="14" t="s">
        <v>230</v>
      </c>
      <c r="C119" s="31">
        <v>95</v>
      </c>
      <c r="D119" s="31">
        <v>3.8</v>
      </c>
      <c r="F119" s="32" t="s">
        <v>66</v>
      </c>
    </row>
    <row r="120" s="14" customFormat="1" ht="15.5" spans="1:6">
      <c r="A120" s="14" t="s">
        <v>232</v>
      </c>
      <c r="B120" s="14" t="s">
        <v>228</v>
      </c>
      <c r="C120" s="31">
        <v>95</v>
      </c>
      <c r="D120" s="31">
        <v>3.8</v>
      </c>
      <c r="F120" s="32" t="s">
        <v>66</v>
      </c>
    </row>
    <row r="121" s="14" customFormat="1" ht="15.5" spans="1:6">
      <c r="A121" s="14" t="s">
        <v>233</v>
      </c>
      <c r="B121" s="14" t="s">
        <v>228</v>
      </c>
      <c r="C121" s="31">
        <v>95</v>
      </c>
      <c r="D121" s="31">
        <v>3.8</v>
      </c>
      <c r="F121" s="32" t="s">
        <v>66</v>
      </c>
    </row>
    <row r="122" s="14" customFormat="1" ht="15.5" spans="1:6">
      <c r="A122" s="14" t="s">
        <v>234</v>
      </c>
      <c r="B122" s="14" t="s">
        <v>226</v>
      </c>
      <c r="C122" s="31">
        <v>95</v>
      </c>
      <c r="D122" s="31">
        <v>3.8</v>
      </c>
      <c r="F122" s="32" t="s">
        <v>66</v>
      </c>
    </row>
    <row r="123" s="14" customFormat="1" ht="15.5" spans="1:6">
      <c r="A123" s="14" t="s">
        <v>235</v>
      </c>
      <c r="B123" s="14" t="s">
        <v>226</v>
      </c>
      <c r="C123" s="31">
        <v>95</v>
      </c>
      <c r="D123" s="31">
        <v>3.8</v>
      </c>
      <c r="F123" s="32" t="s">
        <v>66</v>
      </c>
    </row>
    <row r="124" s="14" customFormat="1" ht="15.5" spans="1:6">
      <c r="A124" s="14" t="s">
        <v>236</v>
      </c>
      <c r="B124" s="14" t="s">
        <v>230</v>
      </c>
      <c r="C124" s="31">
        <v>95</v>
      </c>
      <c r="D124" s="31">
        <v>3.8</v>
      </c>
      <c r="F124" s="32" t="s">
        <v>66</v>
      </c>
    </row>
    <row r="125" s="14" customFormat="1" ht="15.5" spans="1:6">
      <c r="A125" s="14" t="s">
        <v>237</v>
      </c>
      <c r="B125" s="14" t="s">
        <v>226</v>
      </c>
      <c r="C125" s="31">
        <v>95</v>
      </c>
      <c r="D125" s="31">
        <v>3.8</v>
      </c>
      <c r="F125" s="32" t="s">
        <v>66</v>
      </c>
    </row>
    <row r="126" s="14" customFormat="1" ht="15.5" spans="1:6">
      <c r="A126" s="14" t="s">
        <v>238</v>
      </c>
      <c r="B126" s="14" t="s">
        <v>228</v>
      </c>
      <c r="C126" s="31">
        <v>95</v>
      </c>
      <c r="D126" s="31">
        <v>3.8</v>
      </c>
      <c r="F126" s="32" t="s">
        <v>66</v>
      </c>
    </row>
    <row r="127" s="14" customFormat="1" ht="15.5" spans="1:6">
      <c r="A127" s="14" t="s">
        <v>239</v>
      </c>
      <c r="B127" s="14" t="s">
        <v>226</v>
      </c>
      <c r="C127" s="31">
        <v>95</v>
      </c>
      <c r="D127" s="31">
        <v>3.8</v>
      </c>
      <c r="F127" s="32" t="s">
        <v>66</v>
      </c>
    </row>
    <row r="128" s="14" customFormat="1" ht="15.5" spans="1:6">
      <c r="A128" s="14" t="s">
        <v>240</v>
      </c>
      <c r="B128" s="14" t="s">
        <v>228</v>
      </c>
      <c r="C128" s="31">
        <v>95</v>
      </c>
      <c r="D128" s="31">
        <v>3.8</v>
      </c>
      <c r="F128" s="32" t="s">
        <v>66</v>
      </c>
    </row>
    <row r="129" s="14" customFormat="1" ht="15.5" spans="1:6">
      <c r="A129" s="14" t="s">
        <v>241</v>
      </c>
      <c r="B129" s="14" t="s">
        <v>228</v>
      </c>
      <c r="C129" s="31">
        <v>95</v>
      </c>
      <c r="D129" s="31">
        <v>3.8</v>
      </c>
      <c r="F129" s="32" t="s">
        <v>66</v>
      </c>
    </row>
    <row r="130" s="14" customFormat="1" ht="15.5" spans="1:6">
      <c r="A130" s="14" t="s">
        <v>242</v>
      </c>
      <c r="B130" s="14" t="s">
        <v>230</v>
      </c>
      <c r="C130" s="31">
        <v>95</v>
      </c>
      <c r="D130" s="31">
        <v>3.8</v>
      </c>
      <c r="F130" s="32" t="s">
        <v>66</v>
      </c>
    </row>
    <row r="131" s="14" customFormat="1" ht="15.5" spans="1:6">
      <c r="A131" s="14" t="s">
        <v>243</v>
      </c>
      <c r="B131" s="14" t="s">
        <v>244</v>
      </c>
      <c r="C131" s="31">
        <v>298</v>
      </c>
      <c r="D131" s="31">
        <v>14.9</v>
      </c>
      <c r="F131" s="32" t="s">
        <v>66</v>
      </c>
    </row>
    <row r="132" s="14" customFormat="1" ht="15.5" spans="1:6">
      <c r="A132" s="14" t="s">
        <v>245</v>
      </c>
      <c r="B132" s="14" t="s">
        <v>246</v>
      </c>
      <c r="C132" s="31">
        <v>298</v>
      </c>
      <c r="D132" s="31">
        <v>14.9</v>
      </c>
      <c r="F132" s="32" t="s">
        <v>66</v>
      </c>
    </row>
    <row r="133" s="14" customFormat="1" ht="15.5" spans="1:6">
      <c r="A133" s="14" t="s">
        <v>247</v>
      </c>
      <c r="B133" s="14" t="s">
        <v>248</v>
      </c>
      <c r="C133" s="31">
        <v>298</v>
      </c>
      <c r="D133" s="31">
        <v>14.9</v>
      </c>
      <c r="F133" s="32" t="s">
        <v>66</v>
      </c>
    </row>
    <row r="134" s="14" customFormat="1" ht="15.5" spans="1:6">
      <c r="A134" s="14" t="s">
        <v>249</v>
      </c>
      <c r="B134" s="14" t="s">
        <v>250</v>
      </c>
      <c r="C134" s="31">
        <v>298</v>
      </c>
      <c r="D134" s="31">
        <v>14.9</v>
      </c>
      <c r="F134" s="32" t="s">
        <v>66</v>
      </c>
    </row>
    <row r="135" s="14" customFormat="1" ht="15.5" spans="1:6">
      <c r="A135" s="14" t="s">
        <v>251</v>
      </c>
      <c r="B135" s="14" t="s">
        <v>252</v>
      </c>
      <c r="C135" s="31">
        <v>598</v>
      </c>
      <c r="D135" s="31">
        <v>23.92</v>
      </c>
      <c r="F135" s="32" t="s">
        <v>66</v>
      </c>
    </row>
    <row r="136" s="14" customFormat="1" ht="15.5" spans="1:6">
      <c r="A136" s="14" t="s">
        <v>253</v>
      </c>
      <c r="B136" s="14" t="s">
        <v>254</v>
      </c>
      <c r="C136" s="31">
        <v>988</v>
      </c>
      <c r="D136" s="31">
        <v>39.52</v>
      </c>
      <c r="F136" s="32" t="s">
        <v>66</v>
      </c>
    </row>
    <row r="137" s="14" customFormat="1" ht="15.5" spans="1:6">
      <c r="A137" s="14" t="s">
        <v>255</v>
      </c>
      <c r="B137" s="14" t="s">
        <v>256</v>
      </c>
      <c r="C137" s="31">
        <v>598</v>
      </c>
      <c r="D137" s="31">
        <v>23.92</v>
      </c>
      <c r="F137" s="32" t="s">
        <v>66</v>
      </c>
    </row>
    <row r="138" s="14" customFormat="1" ht="15.5" spans="1:6">
      <c r="A138" s="14" t="s">
        <v>257</v>
      </c>
      <c r="B138" s="14" t="s">
        <v>258</v>
      </c>
      <c r="C138" s="31">
        <v>95</v>
      </c>
      <c r="D138" s="31">
        <v>3.8</v>
      </c>
      <c r="F138" s="32" t="s">
        <v>66</v>
      </c>
    </row>
    <row r="139" s="14" customFormat="1" ht="15.5" spans="1:6">
      <c r="A139" s="14" t="s">
        <v>259</v>
      </c>
      <c r="B139" s="14" t="s">
        <v>260</v>
      </c>
      <c r="C139" s="31">
        <v>138</v>
      </c>
      <c r="D139" s="31">
        <v>6.9</v>
      </c>
      <c r="F139" s="32" t="s">
        <v>66</v>
      </c>
    </row>
    <row r="140" s="14" customFormat="1" spans="1:6">
      <c r="C140" s="33">
        <f>SUM(C2:C139)</f>
        <v>26235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9" tint="0.799981688894314"/>
  </sheetPr>
  <dimension ref="A1:B60"/>
  <sheetViews>
    <sheetView tabSelected="1" workbookViewId="0">
      <selection activeCell="D38" sqref="D38"/>
    </sheetView>
  </sheetViews>
  <sheetFormatPr defaultColWidth="9" defaultRowHeight="14" outlineLevelCol="1"/>
  <cols>
    <col min="2" max="2" width="20" customWidth="1"/>
  </cols>
  <sheetData>
    <row r="1" spans="1:2">
      <c r="A1" t="s">
        <v>56</v>
      </c>
      <c r="B1" t="s">
        <v>261</v>
      </c>
    </row>
    <row r="2" spans="1:2">
      <c r="A2">
        <v>298</v>
      </c>
      <c r="B2" t="s">
        <v>262</v>
      </c>
    </row>
    <row r="3" spans="1:2">
      <c r="A3">
        <v>95</v>
      </c>
      <c r="B3" t="s">
        <v>263</v>
      </c>
    </row>
    <row r="4" spans="1:2">
      <c r="A4">
        <v>138</v>
      </c>
      <c r="B4" t="s">
        <v>264</v>
      </c>
    </row>
    <row r="5" spans="1:2">
      <c r="A5">
        <v>168</v>
      </c>
      <c r="B5" t="s">
        <v>265</v>
      </c>
    </row>
    <row r="6" spans="1:2">
      <c r="A6">
        <v>168</v>
      </c>
      <c r="B6" t="s">
        <v>266</v>
      </c>
    </row>
    <row r="7" spans="1:2">
      <c r="A7">
        <v>598</v>
      </c>
      <c r="B7" t="s">
        <v>267</v>
      </c>
    </row>
    <row r="8" spans="1:2">
      <c r="A8">
        <v>285</v>
      </c>
      <c r="B8" t="s">
        <v>268</v>
      </c>
    </row>
    <row r="9" spans="1:2">
      <c r="A9">
        <v>598</v>
      </c>
      <c r="B9" t="s">
        <v>269</v>
      </c>
    </row>
    <row r="10" spans="1:2">
      <c r="A10">
        <v>570</v>
      </c>
      <c r="B10" t="s">
        <v>270</v>
      </c>
    </row>
    <row r="11" spans="1:2">
      <c r="A11">
        <v>598</v>
      </c>
      <c r="B11" t="s">
        <v>271</v>
      </c>
    </row>
    <row r="12" spans="1:2">
      <c r="A12">
        <v>598</v>
      </c>
      <c r="B12" t="s">
        <v>272</v>
      </c>
    </row>
    <row r="13" spans="1:2">
      <c r="A13">
        <v>398</v>
      </c>
      <c r="B13" t="s">
        <v>273</v>
      </c>
    </row>
    <row r="14" spans="1:2">
      <c r="A14">
        <v>398</v>
      </c>
      <c r="B14" t="s">
        <v>274</v>
      </c>
    </row>
    <row r="15" spans="1:2">
      <c r="A15">
        <v>598</v>
      </c>
      <c r="B15" t="s">
        <v>275</v>
      </c>
    </row>
    <row r="16" spans="1:2">
      <c r="A16">
        <v>760</v>
      </c>
      <c r="B16" t="s">
        <v>276</v>
      </c>
    </row>
    <row r="17" spans="1:2">
      <c r="A17">
        <v>398</v>
      </c>
      <c r="B17" t="s">
        <v>277</v>
      </c>
    </row>
    <row r="18" spans="1:2">
      <c r="A18">
        <v>338</v>
      </c>
      <c r="B18" t="s">
        <v>278</v>
      </c>
    </row>
    <row r="19" spans="1:2">
      <c r="A19">
        <v>598</v>
      </c>
      <c r="B19" t="s">
        <v>279</v>
      </c>
    </row>
    <row r="20" spans="1:2">
      <c r="A20">
        <v>570</v>
      </c>
      <c r="B20" t="s">
        <v>280</v>
      </c>
    </row>
    <row r="21" spans="1:2">
      <c r="A21">
        <v>598</v>
      </c>
      <c r="B21" t="s">
        <v>281</v>
      </c>
    </row>
    <row r="22" spans="1:2">
      <c r="A22">
        <v>285</v>
      </c>
      <c r="B22" t="s">
        <v>282</v>
      </c>
    </row>
    <row r="23" spans="1:2">
      <c r="A23">
        <v>475</v>
      </c>
      <c r="B23" t="s">
        <v>283</v>
      </c>
    </row>
    <row r="24" spans="1:2">
      <c r="A24">
        <v>665</v>
      </c>
      <c r="B24" t="s">
        <v>284</v>
      </c>
    </row>
    <row r="25" spans="1:2">
      <c r="A25">
        <v>398</v>
      </c>
      <c r="B25" t="s">
        <v>285</v>
      </c>
    </row>
    <row r="26" spans="1:2">
      <c r="A26">
        <v>598</v>
      </c>
      <c r="B26" t="s">
        <v>286</v>
      </c>
    </row>
    <row r="27" spans="1:2">
      <c r="A27">
        <v>168</v>
      </c>
      <c r="B27" t="s">
        <v>287</v>
      </c>
    </row>
    <row r="28" spans="1:2">
      <c r="A28">
        <v>168</v>
      </c>
      <c r="B28" t="s">
        <v>288</v>
      </c>
    </row>
    <row r="29" spans="1:2">
      <c r="A29">
        <v>475</v>
      </c>
      <c r="B29" t="s">
        <v>289</v>
      </c>
    </row>
    <row r="30" spans="1:2">
      <c r="A30">
        <v>570</v>
      </c>
      <c r="B30" t="s">
        <v>290</v>
      </c>
    </row>
    <row r="31" spans="1:2">
      <c r="A31">
        <v>988</v>
      </c>
      <c r="B31" t="s">
        <v>291</v>
      </c>
    </row>
    <row r="32" spans="1:2">
      <c r="A32">
        <v>398</v>
      </c>
      <c r="B32" t="s">
        <v>292</v>
      </c>
    </row>
    <row r="33" spans="1:2">
      <c r="A33">
        <v>598</v>
      </c>
      <c r="B33" t="s">
        <v>293</v>
      </c>
    </row>
    <row r="34" spans="1:2">
      <c r="A34">
        <v>598</v>
      </c>
      <c r="B34" t="s">
        <v>294</v>
      </c>
    </row>
    <row r="35" spans="1:2">
      <c r="A35">
        <v>665</v>
      </c>
      <c r="B35" t="s">
        <v>295</v>
      </c>
    </row>
    <row r="36" spans="1:2">
      <c r="A36">
        <v>398</v>
      </c>
      <c r="B36" t="s">
        <v>296</v>
      </c>
    </row>
    <row r="37" spans="1:2">
      <c r="A37">
        <v>475</v>
      </c>
      <c r="B37" t="s">
        <v>297</v>
      </c>
    </row>
    <row r="38" spans="1:2">
      <c r="A38">
        <v>398</v>
      </c>
      <c r="B38" t="s">
        <v>298</v>
      </c>
    </row>
    <row r="39" spans="1:2">
      <c r="A39">
        <v>598</v>
      </c>
      <c r="B39" t="s">
        <v>299</v>
      </c>
    </row>
    <row r="40" spans="1:2">
      <c r="A40">
        <v>398</v>
      </c>
      <c r="B40" t="s">
        <v>300</v>
      </c>
    </row>
    <row r="41" spans="1:2">
      <c r="A41">
        <v>475</v>
      </c>
      <c r="B41" t="s">
        <v>301</v>
      </c>
    </row>
    <row r="42" spans="1:2">
      <c r="A42">
        <v>190</v>
      </c>
      <c r="B42" t="s">
        <v>302</v>
      </c>
    </row>
    <row r="43" spans="1:2">
      <c r="A43">
        <v>298</v>
      </c>
      <c r="B43" t="s">
        <v>303</v>
      </c>
    </row>
    <row r="44" spans="1:2">
      <c r="A44">
        <v>58</v>
      </c>
      <c r="B44" t="s">
        <v>304</v>
      </c>
    </row>
    <row r="45" spans="1:2">
      <c r="A45">
        <v>168</v>
      </c>
      <c r="B45" t="s">
        <v>305</v>
      </c>
    </row>
    <row r="46" spans="1:2">
      <c r="A46">
        <v>190</v>
      </c>
      <c r="B46" t="s">
        <v>306</v>
      </c>
    </row>
    <row r="47" spans="1:2">
      <c r="A47">
        <v>475</v>
      </c>
      <c r="B47" t="s">
        <v>307</v>
      </c>
    </row>
    <row r="48" spans="1:2">
      <c r="A48">
        <v>855</v>
      </c>
      <c r="B48" t="s">
        <v>308</v>
      </c>
    </row>
    <row r="49" spans="1:2">
      <c r="A49">
        <v>665</v>
      </c>
      <c r="B49" t="s">
        <v>309</v>
      </c>
    </row>
    <row r="50" spans="1:2">
      <c r="A50">
        <v>688</v>
      </c>
      <c r="B50" t="s">
        <v>310</v>
      </c>
    </row>
    <row r="51" spans="1:2">
      <c r="A51">
        <v>336</v>
      </c>
      <c r="B51" t="s">
        <v>311</v>
      </c>
    </row>
    <row r="52" spans="1:2">
      <c r="A52">
        <v>398</v>
      </c>
      <c r="B52" t="s">
        <v>312</v>
      </c>
    </row>
    <row r="53" spans="1:2">
      <c r="A53">
        <v>285</v>
      </c>
      <c r="B53" t="s">
        <v>313</v>
      </c>
    </row>
    <row r="54" spans="1:2">
      <c r="A54">
        <v>598</v>
      </c>
      <c r="B54" t="s">
        <v>314</v>
      </c>
    </row>
    <row r="55" spans="1:2">
      <c r="A55">
        <v>380</v>
      </c>
      <c r="B55" t="s">
        <v>315</v>
      </c>
    </row>
    <row r="56" spans="1:2">
      <c r="A56">
        <v>598</v>
      </c>
      <c r="B56" t="s">
        <v>316</v>
      </c>
    </row>
    <row r="57" spans="1:2">
      <c r="A57">
        <v>298</v>
      </c>
      <c r="B57" t="s">
        <v>317</v>
      </c>
    </row>
    <row r="58" spans="1:2">
      <c r="A58">
        <v>298</v>
      </c>
      <c r="B58" t="s">
        <v>318</v>
      </c>
    </row>
    <row r="59" spans="1:2">
      <c r="A59">
        <v>598</v>
      </c>
      <c r="B59" t="s">
        <v>319</v>
      </c>
    </row>
    <row r="60" spans="1:2">
      <c r="A60">
        <f>SUM(A2:A59)</f>
        <v>25937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8" tint="0.799981688894314"/>
  </sheetPr>
  <dimension ref="A1:H231"/>
  <sheetViews>
    <sheetView workbookViewId="0">
      <selection activeCell="M30" sqref="M30"/>
    </sheetView>
  </sheetViews>
  <sheetFormatPr defaultColWidth="9" defaultRowHeight="14" outlineLevelCol="7"/>
  <cols>
    <col min="1" max="1" width="18.25" style="23" customWidth="1"/>
    <col min="2" max="2" width="11.875" style="23" customWidth="1"/>
    <col min="3" max="3" width="13.75" style="23" hidden="1" customWidth="1"/>
    <col min="4" max="6" width="28.625" style="23" hidden="1" customWidth="1"/>
    <col min="7" max="7" width="13.75" style="23" hidden="1" customWidth="1"/>
    <col min="8" max="8" width="6.875" style="23" hidden="1" customWidth="1"/>
    <col min="9" max="238" width="9.125" style="23"/>
    <col min="239" max="239" width="20.625" style="23" customWidth="1"/>
    <col min="240" max="240" width="18.25" style="23" customWidth="1"/>
    <col min="241" max="241" width="38.875" style="23" customWidth="1"/>
    <col min="242" max="242" width="67" style="23" customWidth="1"/>
    <col min="243" max="243" width="24" style="23" customWidth="1"/>
    <col min="244" max="245" width="13.75" style="23" customWidth="1"/>
    <col min="246" max="246" width="30.875" style="23" customWidth="1"/>
    <col min="247" max="247" width="6.875" style="23" customWidth="1"/>
    <col min="248" max="248" width="10.25" style="23" customWidth="1"/>
    <col min="249" max="249" width="13.75" style="23" customWidth="1"/>
    <col min="250" max="252" width="28.625" style="23" customWidth="1"/>
    <col min="253" max="253" width="13.75" style="23" customWidth="1"/>
    <col min="254" max="254" width="6.875" style="23" customWidth="1"/>
    <col min="255" max="256" width="13.75" style="23" customWidth="1"/>
    <col min="257" max="257" width="9.125" style="23" customWidth="1"/>
    <col min="258" max="259" width="13.75" style="23" customWidth="1"/>
    <col min="260" max="260" width="20.625" style="23" customWidth="1"/>
    <col min="261" max="262" width="13.75" style="23" customWidth="1"/>
    <col min="263" max="494" width="9.125" style="23"/>
    <col min="495" max="495" width="20.625" style="23" customWidth="1"/>
    <col min="496" max="496" width="18.25" style="23" customWidth="1"/>
    <col min="497" max="497" width="38.875" style="23" customWidth="1"/>
    <col min="498" max="498" width="67" style="23" customWidth="1"/>
    <col min="499" max="499" width="24" style="23" customWidth="1"/>
    <col min="500" max="501" width="13.75" style="23" customWidth="1"/>
    <col min="502" max="502" width="30.875" style="23" customWidth="1"/>
    <col min="503" max="503" width="6.875" style="23" customWidth="1"/>
    <col min="504" max="504" width="10.25" style="23" customWidth="1"/>
    <col min="505" max="505" width="13.75" style="23" customWidth="1"/>
    <col min="506" max="508" width="28.625" style="23" customWidth="1"/>
    <col min="509" max="509" width="13.75" style="23" customWidth="1"/>
    <col min="510" max="510" width="6.875" style="23" customWidth="1"/>
    <col min="511" max="512" width="13.75" style="23" customWidth="1"/>
    <col min="513" max="513" width="9.125" style="23" customWidth="1"/>
    <col min="514" max="515" width="13.75" style="23" customWidth="1"/>
    <col min="516" max="516" width="20.625" style="23" customWidth="1"/>
    <col min="517" max="518" width="13.75" style="23" customWidth="1"/>
    <col min="519" max="750" width="9.125" style="23"/>
    <col min="751" max="751" width="20.625" style="23" customWidth="1"/>
    <col min="752" max="752" width="18.25" style="23" customWidth="1"/>
    <col min="753" max="753" width="38.875" style="23" customWidth="1"/>
    <col min="754" max="754" width="67" style="23" customWidth="1"/>
    <col min="755" max="755" width="24" style="23" customWidth="1"/>
    <col min="756" max="757" width="13.75" style="23" customWidth="1"/>
    <col min="758" max="758" width="30.875" style="23" customWidth="1"/>
    <col min="759" max="759" width="6.875" style="23" customWidth="1"/>
    <col min="760" max="760" width="10.25" style="23" customWidth="1"/>
    <col min="761" max="761" width="13.75" style="23" customWidth="1"/>
    <col min="762" max="764" width="28.625" style="23" customWidth="1"/>
    <col min="765" max="765" width="13.75" style="23" customWidth="1"/>
    <col min="766" max="766" width="6.875" style="23" customWidth="1"/>
    <col min="767" max="768" width="13.75" style="23" customWidth="1"/>
    <col min="769" max="769" width="9.125" style="23" customWidth="1"/>
    <col min="770" max="771" width="13.75" style="23" customWidth="1"/>
    <col min="772" max="772" width="20.625" style="23" customWidth="1"/>
    <col min="773" max="774" width="13.75" style="23" customWidth="1"/>
    <col min="775" max="1006" width="9.125" style="23"/>
    <col min="1007" max="1007" width="20.625" style="23" customWidth="1"/>
    <col min="1008" max="1008" width="18.25" style="23" customWidth="1"/>
    <col min="1009" max="1009" width="38.875" style="23" customWidth="1"/>
    <col min="1010" max="1010" width="67" style="23" customWidth="1"/>
    <col min="1011" max="1011" width="24" style="23" customWidth="1"/>
    <col min="1012" max="1013" width="13.75" style="23" customWidth="1"/>
    <col min="1014" max="1014" width="30.875" style="23" customWidth="1"/>
    <col min="1015" max="1015" width="6.875" style="23" customWidth="1"/>
    <col min="1016" max="1016" width="10.25" style="23" customWidth="1"/>
    <col min="1017" max="1017" width="13.75" style="23" customWidth="1"/>
    <col min="1018" max="1020" width="28.625" style="23" customWidth="1"/>
    <col min="1021" max="1021" width="13.75" style="23" customWidth="1"/>
    <col min="1022" max="1022" width="6.875" style="23" customWidth="1"/>
    <col min="1023" max="1024" width="13.75" style="23" customWidth="1"/>
    <col min="1025" max="1025" width="9.125" style="23" customWidth="1"/>
    <col min="1026" max="1027" width="13.75" style="23" customWidth="1"/>
    <col min="1028" max="1028" width="20.625" style="23" customWidth="1"/>
    <col min="1029" max="1030" width="13.75" style="23" customWidth="1"/>
    <col min="1031" max="1262" width="9.125" style="23"/>
    <col min="1263" max="1263" width="20.625" style="23" customWidth="1"/>
    <col min="1264" max="1264" width="18.25" style="23" customWidth="1"/>
    <col min="1265" max="1265" width="38.875" style="23" customWidth="1"/>
    <col min="1266" max="1266" width="67" style="23" customWidth="1"/>
    <col min="1267" max="1267" width="24" style="23" customWidth="1"/>
    <col min="1268" max="1269" width="13.75" style="23" customWidth="1"/>
    <col min="1270" max="1270" width="30.875" style="23" customWidth="1"/>
    <col min="1271" max="1271" width="6.875" style="23" customWidth="1"/>
    <col min="1272" max="1272" width="10.25" style="23" customWidth="1"/>
    <col min="1273" max="1273" width="13.75" style="23" customWidth="1"/>
    <col min="1274" max="1276" width="28.625" style="23" customWidth="1"/>
    <col min="1277" max="1277" width="13.75" style="23" customWidth="1"/>
    <col min="1278" max="1278" width="6.875" style="23" customWidth="1"/>
    <col min="1279" max="1280" width="13.75" style="23" customWidth="1"/>
    <col min="1281" max="1281" width="9.125" style="23" customWidth="1"/>
    <col min="1282" max="1283" width="13.75" style="23" customWidth="1"/>
    <col min="1284" max="1284" width="20.625" style="23" customWidth="1"/>
    <col min="1285" max="1286" width="13.75" style="23" customWidth="1"/>
    <col min="1287" max="1518" width="9.125" style="23"/>
    <col min="1519" max="1519" width="20.625" style="23" customWidth="1"/>
    <col min="1520" max="1520" width="18.25" style="23" customWidth="1"/>
    <col min="1521" max="1521" width="38.875" style="23" customWidth="1"/>
    <col min="1522" max="1522" width="67" style="23" customWidth="1"/>
    <col min="1523" max="1523" width="24" style="23" customWidth="1"/>
    <col min="1524" max="1525" width="13.75" style="23" customWidth="1"/>
    <col min="1526" max="1526" width="30.875" style="23" customWidth="1"/>
    <col min="1527" max="1527" width="6.875" style="23" customWidth="1"/>
    <col min="1528" max="1528" width="10.25" style="23" customWidth="1"/>
    <col min="1529" max="1529" width="13.75" style="23" customWidth="1"/>
    <col min="1530" max="1532" width="28.625" style="23" customWidth="1"/>
    <col min="1533" max="1533" width="13.75" style="23" customWidth="1"/>
    <col min="1534" max="1534" width="6.875" style="23" customWidth="1"/>
    <col min="1535" max="1536" width="13.75" style="23" customWidth="1"/>
    <col min="1537" max="1537" width="9.125" style="23" customWidth="1"/>
    <col min="1538" max="1539" width="13.75" style="23" customWidth="1"/>
    <col min="1540" max="1540" width="20.625" style="23" customWidth="1"/>
    <col min="1541" max="1542" width="13.75" style="23" customWidth="1"/>
    <col min="1543" max="1774" width="9.125" style="23"/>
    <col min="1775" max="1775" width="20.625" style="23" customWidth="1"/>
    <col min="1776" max="1776" width="18.25" style="23" customWidth="1"/>
    <col min="1777" max="1777" width="38.875" style="23" customWidth="1"/>
    <col min="1778" max="1778" width="67" style="23" customWidth="1"/>
    <col min="1779" max="1779" width="24" style="23" customWidth="1"/>
    <col min="1780" max="1781" width="13.75" style="23" customWidth="1"/>
    <col min="1782" max="1782" width="30.875" style="23" customWidth="1"/>
    <col min="1783" max="1783" width="6.875" style="23" customWidth="1"/>
    <col min="1784" max="1784" width="10.25" style="23" customWidth="1"/>
    <col min="1785" max="1785" width="13.75" style="23" customWidth="1"/>
    <col min="1786" max="1788" width="28.625" style="23" customWidth="1"/>
    <col min="1789" max="1789" width="13.75" style="23" customWidth="1"/>
    <col min="1790" max="1790" width="6.875" style="23" customWidth="1"/>
    <col min="1791" max="1792" width="13.75" style="23" customWidth="1"/>
    <col min="1793" max="1793" width="9.125" style="23" customWidth="1"/>
    <col min="1794" max="1795" width="13.75" style="23" customWidth="1"/>
    <col min="1796" max="1796" width="20.625" style="23" customWidth="1"/>
    <col min="1797" max="1798" width="13.75" style="23" customWidth="1"/>
    <col min="1799" max="2030" width="9.125" style="23"/>
    <col min="2031" max="2031" width="20.625" style="23" customWidth="1"/>
    <col min="2032" max="2032" width="18.25" style="23" customWidth="1"/>
    <col min="2033" max="2033" width="38.875" style="23" customWidth="1"/>
    <col min="2034" max="2034" width="67" style="23" customWidth="1"/>
    <col min="2035" max="2035" width="24" style="23" customWidth="1"/>
    <col min="2036" max="2037" width="13.75" style="23" customWidth="1"/>
    <col min="2038" max="2038" width="30.875" style="23" customWidth="1"/>
    <col min="2039" max="2039" width="6.875" style="23" customWidth="1"/>
    <col min="2040" max="2040" width="10.25" style="23" customWidth="1"/>
    <col min="2041" max="2041" width="13.75" style="23" customWidth="1"/>
    <col min="2042" max="2044" width="28.625" style="23" customWidth="1"/>
    <col min="2045" max="2045" width="13.75" style="23" customWidth="1"/>
    <col min="2046" max="2046" width="6.875" style="23" customWidth="1"/>
    <col min="2047" max="2048" width="13.75" style="23" customWidth="1"/>
    <col min="2049" max="2049" width="9.125" style="23" customWidth="1"/>
    <col min="2050" max="2051" width="13.75" style="23" customWidth="1"/>
    <col min="2052" max="2052" width="20.625" style="23" customWidth="1"/>
    <col min="2053" max="2054" width="13.75" style="23" customWidth="1"/>
    <col min="2055" max="2286" width="9.125" style="23"/>
    <col min="2287" max="2287" width="20.625" style="23" customWidth="1"/>
    <col min="2288" max="2288" width="18.25" style="23" customWidth="1"/>
    <col min="2289" max="2289" width="38.875" style="23" customWidth="1"/>
    <col min="2290" max="2290" width="67" style="23" customWidth="1"/>
    <col min="2291" max="2291" width="24" style="23" customWidth="1"/>
    <col min="2292" max="2293" width="13.75" style="23" customWidth="1"/>
    <col min="2294" max="2294" width="30.875" style="23" customWidth="1"/>
    <col min="2295" max="2295" width="6.875" style="23" customWidth="1"/>
    <col min="2296" max="2296" width="10.25" style="23" customWidth="1"/>
    <col min="2297" max="2297" width="13.75" style="23" customWidth="1"/>
    <col min="2298" max="2300" width="28.625" style="23" customWidth="1"/>
    <col min="2301" max="2301" width="13.75" style="23" customWidth="1"/>
    <col min="2302" max="2302" width="6.875" style="23" customWidth="1"/>
    <col min="2303" max="2304" width="13.75" style="23" customWidth="1"/>
    <col min="2305" max="2305" width="9.125" style="23" customWidth="1"/>
    <col min="2306" max="2307" width="13.75" style="23" customWidth="1"/>
    <col min="2308" max="2308" width="20.625" style="23" customWidth="1"/>
    <col min="2309" max="2310" width="13.75" style="23" customWidth="1"/>
    <col min="2311" max="2542" width="9.125" style="23"/>
    <col min="2543" max="2543" width="20.625" style="23" customWidth="1"/>
    <col min="2544" max="2544" width="18.25" style="23" customWidth="1"/>
    <col min="2545" max="2545" width="38.875" style="23" customWidth="1"/>
    <col min="2546" max="2546" width="67" style="23" customWidth="1"/>
    <col min="2547" max="2547" width="24" style="23" customWidth="1"/>
    <col min="2548" max="2549" width="13.75" style="23" customWidth="1"/>
    <col min="2550" max="2550" width="30.875" style="23" customWidth="1"/>
    <col min="2551" max="2551" width="6.875" style="23" customWidth="1"/>
    <col min="2552" max="2552" width="10.25" style="23" customWidth="1"/>
    <col min="2553" max="2553" width="13.75" style="23" customWidth="1"/>
    <col min="2554" max="2556" width="28.625" style="23" customWidth="1"/>
    <col min="2557" max="2557" width="13.75" style="23" customWidth="1"/>
    <col min="2558" max="2558" width="6.875" style="23" customWidth="1"/>
    <col min="2559" max="2560" width="13.75" style="23" customWidth="1"/>
    <col min="2561" max="2561" width="9.125" style="23" customWidth="1"/>
    <col min="2562" max="2563" width="13.75" style="23" customWidth="1"/>
    <col min="2564" max="2564" width="20.625" style="23" customWidth="1"/>
    <col min="2565" max="2566" width="13.75" style="23" customWidth="1"/>
    <col min="2567" max="2798" width="9.125" style="23"/>
    <col min="2799" max="2799" width="20.625" style="23" customWidth="1"/>
    <col min="2800" max="2800" width="18.25" style="23" customWidth="1"/>
    <col min="2801" max="2801" width="38.875" style="23" customWidth="1"/>
    <col min="2802" max="2802" width="67" style="23" customWidth="1"/>
    <col min="2803" max="2803" width="24" style="23" customWidth="1"/>
    <col min="2804" max="2805" width="13.75" style="23" customWidth="1"/>
    <col min="2806" max="2806" width="30.875" style="23" customWidth="1"/>
    <col min="2807" max="2807" width="6.875" style="23" customWidth="1"/>
    <col min="2808" max="2808" width="10.25" style="23" customWidth="1"/>
    <col min="2809" max="2809" width="13.75" style="23" customWidth="1"/>
    <col min="2810" max="2812" width="28.625" style="23" customWidth="1"/>
    <col min="2813" max="2813" width="13.75" style="23" customWidth="1"/>
    <col min="2814" max="2814" width="6.875" style="23" customWidth="1"/>
    <col min="2815" max="2816" width="13.75" style="23" customWidth="1"/>
    <col min="2817" max="2817" width="9.125" style="23" customWidth="1"/>
    <col min="2818" max="2819" width="13.75" style="23" customWidth="1"/>
    <col min="2820" max="2820" width="20.625" style="23" customWidth="1"/>
    <col min="2821" max="2822" width="13.75" style="23" customWidth="1"/>
    <col min="2823" max="3054" width="9.125" style="23"/>
    <col min="3055" max="3055" width="20.625" style="23" customWidth="1"/>
    <col min="3056" max="3056" width="18.25" style="23" customWidth="1"/>
    <col min="3057" max="3057" width="38.875" style="23" customWidth="1"/>
    <col min="3058" max="3058" width="67" style="23" customWidth="1"/>
    <col min="3059" max="3059" width="24" style="23" customWidth="1"/>
    <col min="3060" max="3061" width="13.75" style="23" customWidth="1"/>
    <col min="3062" max="3062" width="30.875" style="23" customWidth="1"/>
    <col min="3063" max="3063" width="6.875" style="23" customWidth="1"/>
    <col min="3064" max="3064" width="10.25" style="23" customWidth="1"/>
    <col min="3065" max="3065" width="13.75" style="23" customWidth="1"/>
    <col min="3066" max="3068" width="28.625" style="23" customWidth="1"/>
    <col min="3069" max="3069" width="13.75" style="23" customWidth="1"/>
    <col min="3070" max="3070" width="6.875" style="23" customWidth="1"/>
    <col min="3071" max="3072" width="13.75" style="23" customWidth="1"/>
    <col min="3073" max="3073" width="9.125" style="23" customWidth="1"/>
    <col min="3074" max="3075" width="13.75" style="23" customWidth="1"/>
    <col min="3076" max="3076" width="20.625" style="23" customWidth="1"/>
    <col min="3077" max="3078" width="13.75" style="23" customWidth="1"/>
    <col min="3079" max="3310" width="9.125" style="23"/>
    <col min="3311" max="3311" width="20.625" style="23" customWidth="1"/>
    <col min="3312" max="3312" width="18.25" style="23" customWidth="1"/>
    <col min="3313" max="3313" width="38.875" style="23" customWidth="1"/>
    <col min="3314" max="3314" width="67" style="23" customWidth="1"/>
    <col min="3315" max="3315" width="24" style="23" customWidth="1"/>
    <col min="3316" max="3317" width="13.75" style="23" customWidth="1"/>
    <col min="3318" max="3318" width="30.875" style="23" customWidth="1"/>
    <col min="3319" max="3319" width="6.875" style="23" customWidth="1"/>
    <col min="3320" max="3320" width="10.25" style="23" customWidth="1"/>
    <col min="3321" max="3321" width="13.75" style="23" customWidth="1"/>
    <col min="3322" max="3324" width="28.625" style="23" customWidth="1"/>
    <col min="3325" max="3325" width="13.75" style="23" customWidth="1"/>
    <col min="3326" max="3326" width="6.875" style="23" customWidth="1"/>
    <col min="3327" max="3328" width="13.75" style="23" customWidth="1"/>
    <col min="3329" max="3329" width="9.125" style="23" customWidth="1"/>
    <col min="3330" max="3331" width="13.75" style="23" customWidth="1"/>
    <col min="3332" max="3332" width="20.625" style="23" customWidth="1"/>
    <col min="3333" max="3334" width="13.75" style="23" customWidth="1"/>
    <col min="3335" max="3566" width="9.125" style="23"/>
    <col min="3567" max="3567" width="20.625" style="23" customWidth="1"/>
    <col min="3568" max="3568" width="18.25" style="23" customWidth="1"/>
    <col min="3569" max="3569" width="38.875" style="23" customWidth="1"/>
    <col min="3570" max="3570" width="67" style="23" customWidth="1"/>
    <col min="3571" max="3571" width="24" style="23" customWidth="1"/>
    <col min="3572" max="3573" width="13.75" style="23" customWidth="1"/>
    <col min="3574" max="3574" width="30.875" style="23" customWidth="1"/>
    <col min="3575" max="3575" width="6.875" style="23" customWidth="1"/>
    <col min="3576" max="3576" width="10.25" style="23" customWidth="1"/>
    <col min="3577" max="3577" width="13.75" style="23" customWidth="1"/>
    <col min="3578" max="3580" width="28.625" style="23" customWidth="1"/>
    <col min="3581" max="3581" width="13.75" style="23" customWidth="1"/>
    <col min="3582" max="3582" width="6.875" style="23" customWidth="1"/>
    <col min="3583" max="3584" width="13.75" style="23" customWidth="1"/>
    <col min="3585" max="3585" width="9.125" style="23" customWidth="1"/>
    <col min="3586" max="3587" width="13.75" style="23" customWidth="1"/>
    <col min="3588" max="3588" width="20.625" style="23" customWidth="1"/>
    <col min="3589" max="3590" width="13.75" style="23" customWidth="1"/>
    <col min="3591" max="3822" width="9.125" style="23"/>
    <col min="3823" max="3823" width="20.625" style="23" customWidth="1"/>
    <col min="3824" max="3824" width="18.25" style="23" customWidth="1"/>
    <col min="3825" max="3825" width="38.875" style="23" customWidth="1"/>
    <col min="3826" max="3826" width="67" style="23" customWidth="1"/>
    <col min="3827" max="3827" width="24" style="23" customWidth="1"/>
    <col min="3828" max="3829" width="13.75" style="23" customWidth="1"/>
    <col min="3830" max="3830" width="30.875" style="23" customWidth="1"/>
    <col min="3831" max="3831" width="6.875" style="23" customWidth="1"/>
    <col min="3832" max="3832" width="10.25" style="23" customWidth="1"/>
    <col min="3833" max="3833" width="13.75" style="23" customWidth="1"/>
    <col min="3834" max="3836" width="28.625" style="23" customWidth="1"/>
    <col min="3837" max="3837" width="13.75" style="23" customWidth="1"/>
    <col min="3838" max="3838" width="6.875" style="23" customWidth="1"/>
    <col min="3839" max="3840" width="13.75" style="23" customWidth="1"/>
    <col min="3841" max="3841" width="9.125" style="23" customWidth="1"/>
    <col min="3842" max="3843" width="13.75" style="23" customWidth="1"/>
    <col min="3844" max="3844" width="20.625" style="23" customWidth="1"/>
    <col min="3845" max="3846" width="13.75" style="23" customWidth="1"/>
    <col min="3847" max="4078" width="9.125" style="23"/>
    <col min="4079" max="4079" width="20.625" style="23" customWidth="1"/>
    <col min="4080" max="4080" width="18.25" style="23" customWidth="1"/>
    <col min="4081" max="4081" width="38.875" style="23" customWidth="1"/>
    <col min="4082" max="4082" width="67" style="23" customWidth="1"/>
    <col min="4083" max="4083" width="24" style="23" customWidth="1"/>
    <col min="4084" max="4085" width="13.75" style="23" customWidth="1"/>
    <col min="4086" max="4086" width="30.875" style="23" customWidth="1"/>
    <col min="4087" max="4087" width="6.875" style="23" customWidth="1"/>
    <col min="4088" max="4088" width="10.25" style="23" customWidth="1"/>
    <col min="4089" max="4089" width="13.75" style="23" customWidth="1"/>
    <col min="4090" max="4092" width="28.625" style="23" customWidth="1"/>
    <col min="4093" max="4093" width="13.75" style="23" customWidth="1"/>
    <col min="4094" max="4094" width="6.875" style="23" customWidth="1"/>
    <col min="4095" max="4096" width="13.75" style="23" customWidth="1"/>
    <col min="4097" max="4097" width="9.125" style="23" customWidth="1"/>
    <col min="4098" max="4099" width="13.75" style="23" customWidth="1"/>
    <col min="4100" max="4100" width="20.625" style="23" customWidth="1"/>
    <col min="4101" max="4102" width="13.75" style="23" customWidth="1"/>
    <col min="4103" max="4334" width="9.125" style="23"/>
    <col min="4335" max="4335" width="20.625" style="23" customWidth="1"/>
    <col min="4336" max="4336" width="18.25" style="23" customWidth="1"/>
    <col min="4337" max="4337" width="38.875" style="23" customWidth="1"/>
    <col min="4338" max="4338" width="67" style="23" customWidth="1"/>
    <col min="4339" max="4339" width="24" style="23" customWidth="1"/>
    <col min="4340" max="4341" width="13.75" style="23" customWidth="1"/>
    <col min="4342" max="4342" width="30.875" style="23" customWidth="1"/>
    <col min="4343" max="4343" width="6.875" style="23" customWidth="1"/>
    <col min="4344" max="4344" width="10.25" style="23" customWidth="1"/>
    <col min="4345" max="4345" width="13.75" style="23" customWidth="1"/>
    <col min="4346" max="4348" width="28.625" style="23" customWidth="1"/>
    <col min="4349" max="4349" width="13.75" style="23" customWidth="1"/>
    <col min="4350" max="4350" width="6.875" style="23" customWidth="1"/>
    <col min="4351" max="4352" width="13.75" style="23" customWidth="1"/>
    <col min="4353" max="4353" width="9.125" style="23" customWidth="1"/>
    <col min="4354" max="4355" width="13.75" style="23" customWidth="1"/>
    <col min="4356" max="4356" width="20.625" style="23" customWidth="1"/>
    <col min="4357" max="4358" width="13.75" style="23" customWidth="1"/>
    <col min="4359" max="4590" width="9.125" style="23"/>
    <col min="4591" max="4591" width="20.625" style="23" customWidth="1"/>
    <col min="4592" max="4592" width="18.25" style="23" customWidth="1"/>
    <col min="4593" max="4593" width="38.875" style="23" customWidth="1"/>
    <col min="4594" max="4594" width="67" style="23" customWidth="1"/>
    <col min="4595" max="4595" width="24" style="23" customWidth="1"/>
    <col min="4596" max="4597" width="13.75" style="23" customWidth="1"/>
    <col min="4598" max="4598" width="30.875" style="23" customWidth="1"/>
    <col min="4599" max="4599" width="6.875" style="23" customWidth="1"/>
    <col min="4600" max="4600" width="10.25" style="23" customWidth="1"/>
    <col min="4601" max="4601" width="13.75" style="23" customWidth="1"/>
    <col min="4602" max="4604" width="28.625" style="23" customWidth="1"/>
    <col min="4605" max="4605" width="13.75" style="23" customWidth="1"/>
    <col min="4606" max="4606" width="6.875" style="23" customWidth="1"/>
    <col min="4607" max="4608" width="13.75" style="23" customWidth="1"/>
    <col min="4609" max="4609" width="9.125" style="23" customWidth="1"/>
    <col min="4610" max="4611" width="13.75" style="23" customWidth="1"/>
    <col min="4612" max="4612" width="20.625" style="23" customWidth="1"/>
    <col min="4613" max="4614" width="13.75" style="23" customWidth="1"/>
    <col min="4615" max="4846" width="9.125" style="23"/>
    <col min="4847" max="4847" width="20.625" style="23" customWidth="1"/>
    <col min="4848" max="4848" width="18.25" style="23" customWidth="1"/>
    <col min="4849" max="4849" width="38.875" style="23" customWidth="1"/>
    <col min="4850" max="4850" width="67" style="23" customWidth="1"/>
    <col min="4851" max="4851" width="24" style="23" customWidth="1"/>
    <col min="4852" max="4853" width="13.75" style="23" customWidth="1"/>
    <col min="4854" max="4854" width="30.875" style="23" customWidth="1"/>
    <col min="4855" max="4855" width="6.875" style="23" customWidth="1"/>
    <col min="4856" max="4856" width="10.25" style="23" customWidth="1"/>
    <col min="4857" max="4857" width="13.75" style="23" customWidth="1"/>
    <col min="4858" max="4860" width="28.625" style="23" customWidth="1"/>
    <col min="4861" max="4861" width="13.75" style="23" customWidth="1"/>
    <col min="4862" max="4862" width="6.875" style="23" customWidth="1"/>
    <col min="4863" max="4864" width="13.75" style="23" customWidth="1"/>
    <col min="4865" max="4865" width="9.125" style="23" customWidth="1"/>
    <col min="4866" max="4867" width="13.75" style="23" customWidth="1"/>
    <col min="4868" max="4868" width="20.625" style="23" customWidth="1"/>
    <col min="4869" max="4870" width="13.75" style="23" customWidth="1"/>
    <col min="4871" max="5102" width="9.125" style="23"/>
    <col min="5103" max="5103" width="20.625" style="23" customWidth="1"/>
    <col min="5104" max="5104" width="18.25" style="23" customWidth="1"/>
    <col min="5105" max="5105" width="38.875" style="23" customWidth="1"/>
    <col min="5106" max="5106" width="67" style="23" customWidth="1"/>
    <col min="5107" max="5107" width="24" style="23" customWidth="1"/>
    <col min="5108" max="5109" width="13.75" style="23" customWidth="1"/>
    <col min="5110" max="5110" width="30.875" style="23" customWidth="1"/>
    <col min="5111" max="5111" width="6.875" style="23" customWidth="1"/>
    <col min="5112" max="5112" width="10.25" style="23" customWidth="1"/>
    <col min="5113" max="5113" width="13.75" style="23" customWidth="1"/>
    <col min="5114" max="5116" width="28.625" style="23" customWidth="1"/>
    <col min="5117" max="5117" width="13.75" style="23" customWidth="1"/>
    <col min="5118" max="5118" width="6.875" style="23" customWidth="1"/>
    <col min="5119" max="5120" width="13.75" style="23" customWidth="1"/>
    <col min="5121" max="5121" width="9.125" style="23" customWidth="1"/>
    <col min="5122" max="5123" width="13.75" style="23" customWidth="1"/>
    <col min="5124" max="5124" width="20.625" style="23" customWidth="1"/>
    <col min="5125" max="5126" width="13.75" style="23" customWidth="1"/>
    <col min="5127" max="5358" width="9.125" style="23"/>
    <col min="5359" max="5359" width="20.625" style="23" customWidth="1"/>
    <col min="5360" max="5360" width="18.25" style="23" customWidth="1"/>
    <col min="5361" max="5361" width="38.875" style="23" customWidth="1"/>
    <col min="5362" max="5362" width="67" style="23" customWidth="1"/>
    <col min="5363" max="5363" width="24" style="23" customWidth="1"/>
    <col min="5364" max="5365" width="13.75" style="23" customWidth="1"/>
    <col min="5366" max="5366" width="30.875" style="23" customWidth="1"/>
    <col min="5367" max="5367" width="6.875" style="23" customWidth="1"/>
    <col min="5368" max="5368" width="10.25" style="23" customWidth="1"/>
    <col min="5369" max="5369" width="13.75" style="23" customWidth="1"/>
    <col min="5370" max="5372" width="28.625" style="23" customWidth="1"/>
    <col min="5373" max="5373" width="13.75" style="23" customWidth="1"/>
    <col min="5374" max="5374" width="6.875" style="23" customWidth="1"/>
    <col min="5375" max="5376" width="13.75" style="23" customWidth="1"/>
    <col min="5377" max="5377" width="9.125" style="23" customWidth="1"/>
    <col min="5378" max="5379" width="13.75" style="23" customWidth="1"/>
    <col min="5380" max="5380" width="20.625" style="23" customWidth="1"/>
    <col min="5381" max="5382" width="13.75" style="23" customWidth="1"/>
    <col min="5383" max="5614" width="9.125" style="23"/>
    <col min="5615" max="5615" width="20.625" style="23" customWidth="1"/>
    <col min="5616" max="5616" width="18.25" style="23" customWidth="1"/>
    <col min="5617" max="5617" width="38.875" style="23" customWidth="1"/>
    <col min="5618" max="5618" width="67" style="23" customWidth="1"/>
    <col min="5619" max="5619" width="24" style="23" customWidth="1"/>
    <col min="5620" max="5621" width="13.75" style="23" customWidth="1"/>
    <col min="5622" max="5622" width="30.875" style="23" customWidth="1"/>
    <col min="5623" max="5623" width="6.875" style="23" customWidth="1"/>
    <col min="5624" max="5624" width="10.25" style="23" customWidth="1"/>
    <col min="5625" max="5625" width="13.75" style="23" customWidth="1"/>
    <col min="5626" max="5628" width="28.625" style="23" customWidth="1"/>
    <col min="5629" max="5629" width="13.75" style="23" customWidth="1"/>
    <col min="5630" max="5630" width="6.875" style="23" customWidth="1"/>
    <col min="5631" max="5632" width="13.75" style="23" customWidth="1"/>
    <col min="5633" max="5633" width="9.125" style="23" customWidth="1"/>
    <col min="5634" max="5635" width="13.75" style="23" customWidth="1"/>
    <col min="5636" max="5636" width="20.625" style="23" customWidth="1"/>
    <col min="5637" max="5638" width="13.75" style="23" customWidth="1"/>
    <col min="5639" max="5870" width="9.125" style="23"/>
    <col min="5871" max="5871" width="20.625" style="23" customWidth="1"/>
    <col min="5872" max="5872" width="18.25" style="23" customWidth="1"/>
    <col min="5873" max="5873" width="38.875" style="23" customWidth="1"/>
    <col min="5874" max="5874" width="67" style="23" customWidth="1"/>
    <col min="5875" max="5875" width="24" style="23" customWidth="1"/>
    <col min="5876" max="5877" width="13.75" style="23" customWidth="1"/>
    <col min="5878" max="5878" width="30.875" style="23" customWidth="1"/>
    <col min="5879" max="5879" width="6.875" style="23" customWidth="1"/>
    <col min="5880" max="5880" width="10.25" style="23" customWidth="1"/>
    <col min="5881" max="5881" width="13.75" style="23" customWidth="1"/>
    <col min="5882" max="5884" width="28.625" style="23" customWidth="1"/>
    <col min="5885" max="5885" width="13.75" style="23" customWidth="1"/>
    <col min="5886" max="5886" width="6.875" style="23" customWidth="1"/>
    <col min="5887" max="5888" width="13.75" style="23" customWidth="1"/>
    <col min="5889" max="5889" width="9.125" style="23" customWidth="1"/>
    <col min="5890" max="5891" width="13.75" style="23" customWidth="1"/>
    <col min="5892" max="5892" width="20.625" style="23" customWidth="1"/>
    <col min="5893" max="5894" width="13.75" style="23" customWidth="1"/>
    <col min="5895" max="6126" width="9.125" style="23"/>
    <col min="6127" max="6127" width="20.625" style="23" customWidth="1"/>
    <col min="6128" max="6128" width="18.25" style="23" customWidth="1"/>
    <col min="6129" max="6129" width="38.875" style="23" customWidth="1"/>
    <col min="6130" max="6130" width="67" style="23" customWidth="1"/>
    <col min="6131" max="6131" width="24" style="23" customWidth="1"/>
    <col min="6132" max="6133" width="13.75" style="23" customWidth="1"/>
    <col min="6134" max="6134" width="30.875" style="23" customWidth="1"/>
    <col min="6135" max="6135" width="6.875" style="23" customWidth="1"/>
    <col min="6136" max="6136" width="10.25" style="23" customWidth="1"/>
    <col min="6137" max="6137" width="13.75" style="23" customWidth="1"/>
    <col min="6138" max="6140" width="28.625" style="23" customWidth="1"/>
    <col min="6141" max="6141" width="13.75" style="23" customWidth="1"/>
    <col min="6142" max="6142" width="6.875" style="23" customWidth="1"/>
    <col min="6143" max="6144" width="13.75" style="23" customWidth="1"/>
    <col min="6145" max="6145" width="9.125" style="23" customWidth="1"/>
    <col min="6146" max="6147" width="13.75" style="23" customWidth="1"/>
    <col min="6148" max="6148" width="20.625" style="23" customWidth="1"/>
    <col min="6149" max="6150" width="13.75" style="23" customWidth="1"/>
    <col min="6151" max="6382" width="9.125" style="23"/>
    <col min="6383" max="6383" width="20.625" style="23" customWidth="1"/>
    <col min="6384" max="6384" width="18.25" style="23" customWidth="1"/>
    <col min="6385" max="6385" width="38.875" style="23" customWidth="1"/>
    <col min="6386" max="6386" width="67" style="23" customWidth="1"/>
    <col min="6387" max="6387" width="24" style="23" customWidth="1"/>
    <col min="6388" max="6389" width="13.75" style="23" customWidth="1"/>
    <col min="6390" max="6390" width="30.875" style="23" customWidth="1"/>
    <col min="6391" max="6391" width="6.875" style="23" customWidth="1"/>
    <col min="6392" max="6392" width="10.25" style="23" customWidth="1"/>
    <col min="6393" max="6393" width="13.75" style="23" customWidth="1"/>
    <col min="6394" max="6396" width="28.625" style="23" customWidth="1"/>
    <col min="6397" max="6397" width="13.75" style="23" customWidth="1"/>
    <col min="6398" max="6398" width="6.875" style="23" customWidth="1"/>
    <col min="6399" max="6400" width="13.75" style="23" customWidth="1"/>
    <col min="6401" max="6401" width="9.125" style="23" customWidth="1"/>
    <col min="6402" max="6403" width="13.75" style="23" customWidth="1"/>
    <col min="6404" max="6404" width="20.625" style="23" customWidth="1"/>
    <col min="6405" max="6406" width="13.75" style="23" customWidth="1"/>
    <col min="6407" max="6638" width="9.125" style="23"/>
    <col min="6639" max="6639" width="20.625" style="23" customWidth="1"/>
    <col min="6640" max="6640" width="18.25" style="23" customWidth="1"/>
    <col min="6641" max="6641" width="38.875" style="23" customWidth="1"/>
    <col min="6642" max="6642" width="67" style="23" customWidth="1"/>
    <col min="6643" max="6643" width="24" style="23" customWidth="1"/>
    <col min="6644" max="6645" width="13.75" style="23" customWidth="1"/>
    <col min="6646" max="6646" width="30.875" style="23" customWidth="1"/>
    <col min="6647" max="6647" width="6.875" style="23" customWidth="1"/>
    <col min="6648" max="6648" width="10.25" style="23" customWidth="1"/>
    <col min="6649" max="6649" width="13.75" style="23" customWidth="1"/>
    <col min="6650" max="6652" width="28.625" style="23" customWidth="1"/>
    <col min="6653" max="6653" width="13.75" style="23" customWidth="1"/>
    <col min="6654" max="6654" width="6.875" style="23" customWidth="1"/>
    <col min="6655" max="6656" width="13.75" style="23" customWidth="1"/>
    <col min="6657" max="6657" width="9.125" style="23" customWidth="1"/>
    <col min="6658" max="6659" width="13.75" style="23" customWidth="1"/>
    <col min="6660" max="6660" width="20.625" style="23" customWidth="1"/>
    <col min="6661" max="6662" width="13.75" style="23" customWidth="1"/>
    <col min="6663" max="6894" width="9.125" style="23"/>
    <col min="6895" max="6895" width="20.625" style="23" customWidth="1"/>
    <col min="6896" max="6896" width="18.25" style="23" customWidth="1"/>
    <col min="6897" max="6897" width="38.875" style="23" customWidth="1"/>
    <col min="6898" max="6898" width="67" style="23" customWidth="1"/>
    <col min="6899" max="6899" width="24" style="23" customWidth="1"/>
    <col min="6900" max="6901" width="13.75" style="23" customWidth="1"/>
    <col min="6902" max="6902" width="30.875" style="23" customWidth="1"/>
    <col min="6903" max="6903" width="6.875" style="23" customWidth="1"/>
    <col min="6904" max="6904" width="10.25" style="23" customWidth="1"/>
    <col min="6905" max="6905" width="13.75" style="23" customWidth="1"/>
    <col min="6906" max="6908" width="28.625" style="23" customWidth="1"/>
    <col min="6909" max="6909" width="13.75" style="23" customWidth="1"/>
    <col min="6910" max="6910" width="6.875" style="23" customWidth="1"/>
    <col min="6911" max="6912" width="13.75" style="23" customWidth="1"/>
    <col min="6913" max="6913" width="9.125" style="23" customWidth="1"/>
    <col min="6914" max="6915" width="13.75" style="23" customWidth="1"/>
    <col min="6916" max="6916" width="20.625" style="23" customWidth="1"/>
    <col min="6917" max="6918" width="13.75" style="23" customWidth="1"/>
    <col min="6919" max="7150" width="9.125" style="23"/>
    <col min="7151" max="7151" width="20.625" style="23" customWidth="1"/>
    <col min="7152" max="7152" width="18.25" style="23" customWidth="1"/>
    <col min="7153" max="7153" width="38.875" style="23" customWidth="1"/>
    <col min="7154" max="7154" width="67" style="23" customWidth="1"/>
    <col min="7155" max="7155" width="24" style="23" customWidth="1"/>
    <col min="7156" max="7157" width="13.75" style="23" customWidth="1"/>
    <col min="7158" max="7158" width="30.875" style="23" customWidth="1"/>
    <col min="7159" max="7159" width="6.875" style="23" customWidth="1"/>
    <col min="7160" max="7160" width="10.25" style="23" customWidth="1"/>
    <col min="7161" max="7161" width="13.75" style="23" customWidth="1"/>
    <col min="7162" max="7164" width="28.625" style="23" customWidth="1"/>
    <col min="7165" max="7165" width="13.75" style="23" customWidth="1"/>
    <col min="7166" max="7166" width="6.875" style="23" customWidth="1"/>
    <col min="7167" max="7168" width="13.75" style="23" customWidth="1"/>
    <col min="7169" max="7169" width="9.125" style="23" customWidth="1"/>
    <col min="7170" max="7171" width="13.75" style="23" customWidth="1"/>
    <col min="7172" max="7172" width="20.625" style="23" customWidth="1"/>
    <col min="7173" max="7174" width="13.75" style="23" customWidth="1"/>
    <col min="7175" max="7406" width="9.125" style="23"/>
    <col min="7407" max="7407" width="20.625" style="23" customWidth="1"/>
    <col min="7408" max="7408" width="18.25" style="23" customWidth="1"/>
    <col min="7409" max="7409" width="38.875" style="23" customWidth="1"/>
    <col min="7410" max="7410" width="67" style="23" customWidth="1"/>
    <col min="7411" max="7411" width="24" style="23" customWidth="1"/>
    <col min="7412" max="7413" width="13.75" style="23" customWidth="1"/>
    <col min="7414" max="7414" width="30.875" style="23" customWidth="1"/>
    <col min="7415" max="7415" width="6.875" style="23" customWidth="1"/>
    <col min="7416" max="7416" width="10.25" style="23" customWidth="1"/>
    <col min="7417" max="7417" width="13.75" style="23" customWidth="1"/>
    <col min="7418" max="7420" width="28.625" style="23" customWidth="1"/>
    <col min="7421" max="7421" width="13.75" style="23" customWidth="1"/>
    <col min="7422" max="7422" width="6.875" style="23" customWidth="1"/>
    <col min="7423" max="7424" width="13.75" style="23" customWidth="1"/>
    <col min="7425" max="7425" width="9.125" style="23" customWidth="1"/>
    <col min="7426" max="7427" width="13.75" style="23" customWidth="1"/>
    <col min="7428" max="7428" width="20.625" style="23" customWidth="1"/>
    <col min="7429" max="7430" width="13.75" style="23" customWidth="1"/>
    <col min="7431" max="7662" width="9.125" style="23"/>
    <col min="7663" max="7663" width="20.625" style="23" customWidth="1"/>
    <col min="7664" max="7664" width="18.25" style="23" customWidth="1"/>
    <col min="7665" max="7665" width="38.875" style="23" customWidth="1"/>
    <col min="7666" max="7666" width="67" style="23" customWidth="1"/>
    <col min="7667" max="7667" width="24" style="23" customWidth="1"/>
    <col min="7668" max="7669" width="13.75" style="23" customWidth="1"/>
    <col min="7670" max="7670" width="30.875" style="23" customWidth="1"/>
    <col min="7671" max="7671" width="6.875" style="23" customWidth="1"/>
    <col min="7672" max="7672" width="10.25" style="23" customWidth="1"/>
    <col min="7673" max="7673" width="13.75" style="23" customWidth="1"/>
    <col min="7674" max="7676" width="28.625" style="23" customWidth="1"/>
    <col min="7677" max="7677" width="13.75" style="23" customWidth="1"/>
    <col min="7678" max="7678" width="6.875" style="23" customWidth="1"/>
    <col min="7679" max="7680" width="13.75" style="23" customWidth="1"/>
    <col min="7681" max="7681" width="9.125" style="23" customWidth="1"/>
    <col min="7682" max="7683" width="13.75" style="23" customWidth="1"/>
    <col min="7684" max="7684" width="20.625" style="23" customWidth="1"/>
    <col min="7685" max="7686" width="13.75" style="23" customWidth="1"/>
    <col min="7687" max="7918" width="9.125" style="23"/>
    <col min="7919" max="7919" width="20.625" style="23" customWidth="1"/>
    <col min="7920" max="7920" width="18.25" style="23" customWidth="1"/>
    <col min="7921" max="7921" width="38.875" style="23" customWidth="1"/>
    <col min="7922" max="7922" width="67" style="23" customWidth="1"/>
    <col min="7923" max="7923" width="24" style="23" customWidth="1"/>
    <col min="7924" max="7925" width="13.75" style="23" customWidth="1"/>
    <col min="7926" max="7926" width="30.875" style="23" customWidth="1"/>
    <col min="7927" max="7927" width="6.875" style="23" customWidth="1"/>
    <col min="7928" max="7928" width="10.25" style="23" customWidth="1"/>
    <col min="7929" max="7929" width="13.75" style="23" customWidth="1"/>
    <col min="7930" max="7932" width="28.625" style="23" customWidth="1"/>
    <col min="7933" max="7933" width="13.75" style="23" customWidth="1"/>
    <col min="7934" max="7934" width="6.875" style="23" customWidth="1"/>
    <col min="7935" max="7936" width="13.75" style="23" customWidth="1"/>
    <col min="7937" max="7937" width="9.125" style="23" customWidth="1"/>
    <col min="7938" max="7939" width="13.75" style="23" customWidth="1"/>
    <col min="7940" max="7940" width="20.625" style="23" customWidth="1"/>
    <col min="7941" max="7942" width="13.75" style="23" customWidth="1"/>
    <col min="7943" max="8174" width="9.125" style="23"/>
    <col min="8175" max="8175" width="20.625" style="23" customWidth="1"/>
    <col min="8176" max="8176" width="18.25" style="23" customWidth="1"/>
    <col min="8177" max="8177" width="38.875" style="23" customWidth="1"/>
    <col min="8178" max="8178" width="67" style="23" customWidth="1"/>
    <col min="8179" max="8179" width="24" style="23" customWidth="1"/>
    <col min="8180" max="8181" width="13.75" style="23" customWidth="1"/>
    <col min="8182" max="8182" width="30.875" style="23" customWidth="1"/>
    <col min="8183" max="8183" width="6.875" style="23" customWidth="1"/>
    <col min="8184" max="8184" width="10.25" style="23" customWidth="1"/>
    <col min="8185" max="8185" width="13.75" style="23" customWidth="1"/>
    <col min="8186" max="8188" width="28.625" style="23" customWidth="1"/>
    <col min="8189" max="8189" width="13.75" style="23" customWidth="1"/>
    <col min="8190" max="8190" width="6.875" style="23" customWidth="1"/>
    <col min="8191" max="8192" width="13.75" style="23" customWidth="1"/>
    <col min="8193" max="8193" width="9.125" style="23" customWidth="1"/>
    <col min="8194" max="8195" width="13.75" style="23" customWidth="1"/>
    <col min="8196" max="8196" width="20.625" style="23" customWidth="1"/>
    <col min="8197" max="8198" width="13.75" style="23" customWidth="1"/>
    <col min="8199" max="8430" width="9.125" style="23"/>
    <col min="8431" max="8431" width="20.625" style="23" customWidth="1"/>
    <col min="8432" max="8432" width="18.25" style="23" customWidth="1"/>
    <col min="8433" max="8433" width="38.875" style="23" customWidth="1"/>
    <col min="8434" max="8434" width="67" style="23" customWidth="1"/>
    <col min="8435" max="8435" width="24" style="23" customWidth="1"/>
    <col min="8436" max="8437" width="13.75" style="23" customWidth="1"/>
    <col min="8438" max="8438" width="30.875" style="23" customWidth="1"/>
    <col min="8439" max="8439" width="6.875" style="23" customWidth="1"/>
    <col min="8440" max="8440" width="10.25" style="23" customWidth="1"/>
    <col min="8441" max="8441" width="13.75" style="23" customWidth="1"/>
    <col min="8442" max="8444" width="28.625" style="23" customWidth="1"/>
    <col min="8445" max="8445" width="13.75" style="23" customWidth="1"/>
    <col min="8446" max="8446" width="6.875" style="23" customWidth="1"/>
    <col min="8447" max="8448" width="13.75" style="23" customWidth="1"/>
    <col min="8449" max="8449" width="9.125" style="23" customWidth="1"/>
    <col min="8450" max="8451" width="13.75" style="23" customWidth="1"/>
    <col min="8452" max="8452" width="20.625" style="23" customWidth="1"/>
    <col min="8453" max="8454" width="13.75" style="23" customWidth="1"/>
    <col min="8455" max="8686" width="9.125" style="23"/>
    <col min="8687" max="8687" width="20.625" style="23" customWidth="1"/>
    <col min="8688" max="8688" width="18.25" style="23" customWidth="1"/>
    <col min="8689" max="8689" width="38.875" style="23" customWidth="1"/>
    <col min="8690" max="8690" width="67" style="23" customWidth="1"/>
    <col min="8691" max="8691" width="24" style="23" customWidth="1"/>
    <col min="8692" max="8693" width="13.75" style="23" customWidth="1"/>
    <col min="8694" max="8694" width="30.875" style="23" customWidth="1"/>
    <col min="8695" max="8695" width="6.875" style="23" customWidth="1"/>
    <col min="8696" max="8696" width="10.25" style="23" customWidth="1"/>
    <col min="8697" max="8697" width="13.75" style="23" customWidth="1"/>
    <col min="8698" max="8700" width="28.625" style="23" customWidth="1"/>
    <col min="8701" max="8701" width="13.75" style="23" customWidth="1"/>
    <col min="8702" max="8702" width="6.875" style="23" customWidth="1"/>
    <col min="8703" max="8704" width="13.75" style="23" customWidth="1"/>
    <col min="8705" max="8705" width="9.125" style="23" customWidth="1"/>
    <col min="8706" max="8707" width="13.75" style="23" customWidth="1"/>
    <col min="8708" max="8708" width="20.625" style="23" customWidth="1"/>
    <col min="8709" max="8710" width="13.75" style="23" customWidth="1"/>
    <col min="8711" max="8942" width="9.125" style="23"/>
    <col min="8943" max="8943" width="20.625" style="23" customWidth="1"/>
    <col min="8944" max="8944" width="18.25" style="23" customWidth="1"/>
    <col min="8945" max="8945" width="38.875" style="23" customWidth="1"/>
    <col min="8946" max="8946" width="67" style="23" customWidth="1"/>
    <col min="8947" max="8947" width="24" style="23" customWidth="1"/>
    <col min="8948" max="8949" width="13.75" style="23" customWidth="1"/>
    <col min="8950" max="8950" width="30.875" style="23" customWidth="1"/>
    <col min="8951" max="8951" width="6.875" style="23" customWidth="1"/>
    <col min="8952" max="8952" width="10.25" style="23" customWidth="1"/>
    <col min="8953" max="8953" width="13.75" style="23" customWidth="1"/>
    <col min="8954" max="8956" width="28.625" style="23" customWidth="1"/>
    <col min="8957" max="8957" width="13.75" style="23" customWidth="1"/>
    <col min="8958" max="8958" width="6.875" style="23" customWidth="1"/>
    <col min="8959" max="8960" width="13.75" style="23" customWidth="1"/>
    <col min="8961" max="8961" width="9.125" style="23" customWidth="1"/>
    <col min="8962" max="8963" width="13.75" style="23" customWidth="1"/>
    <col min="8964" max="8964" width="20.625" style="23" customWidth="1"/>
    <col min="8965" max="8966" width="13.75" style="23" customWidth="1"/>
    <col min="8967" max="9198" width="9.125" style="23"/>
    <col min="9199" max="9199" width="20.625" style="23" customWidth="1"/>
    <col min="9200" max="9200" width="18.25" style="23" customWidth="1"/>
    <col min="9201" max="9201" width="38.875" style="23" customWidth="1"/>
    <col min="9202" max="9202" width="67" style="23" customWidth="1"/>
    <col min="9203" max="9203" width="24" style="23" customWidth="1"/>
    <col min="9204" max="9205" width="13.75" style="23" customWidth="1"/>
    <col min="9206" max="9206" width="30.875" style="23" customWidth="1"/>
    <col min="9207" max="9207" width="6.875" style="23" customWidth="1"/>
    <col min="9208" max="9208" width="10.25" style="23" customWidth="1"/>
    <col min="9209" max="9209" width="13.75" style="23" customWidth="1"/>
    <col min="9210" max="9212" width="28.625" style="23" customWidth="1"/>
    <col min="9213" max="9213" width="13.75" style="23" customWidth="1"/>
    <col min="9214" max="9214" width="6.875" style="23" customWidth="1"/>
    <col min="9215" max="9216" width="13.75" style="23" customWidth="1"/>
    <col min="9217" max="9217" width="9.125" style="23" customWidth="1"/>
    <col min="9218" max="9219" width="13.75" style="23" customWidth="1"/>
    <col min="9220" max="9220" width="20.625" style="23" customWidth="1"/>
    <col min="9221" max="9222" width="13.75" style="23" customWidth="1"/>
    <col min="9223" max="9454" width="9.125" style="23"/>
    <col min="9455" max="9455" width="20.625" style="23" customWidth="1"/>
    <col min="9456" max="9456" width="18.25" style="23" customWidth="1"/>
    <col min="9457" max="9457" width="38.875" style="23" customWidth="1"/>
    <col min="9458" max="9458" width="67" style="23" customWidth="1"/>
    <col min="9459" max="9459" width="24" style="23" customWidth="1"/>
    <col min="9460" max="9461" width="13.75" style="23" customWidth="1"/>
    <col min="9462" max="9462" width="30.875" style="23" customWidth="1"/>
    <col min="9463" max="9463" width="6.875" style="23" customWidth="1"/>
    <col min="9464" max="9464" width="10.25" style="23" customWidth="1"/>
    <col min="9465" max="9465" width="13.75" style="23" customWidth="1"/>
    <col min="9466" max="9468" width="28.625" style="23" customWidth="1"/>
    <col min="9469" max="9469" width="13.75" style="23" customWidth="1"/>
    <col min="9470" max="9470" width="6.875" style="23" customWidth="1"/>
    <col min="9471" max="9472" width="13.75" style="23" customWidth="1"/>
    <col min="9473" max="9473" width="9.125" style="23" customWidth="1"/>
    <col min="9474" max="9475" width="13.75" style="23" customWidth="1"/>
    <col min="9476" max="9476" width="20.625" style="23" customWidth="1"/>
    <col min="9477" max="9478" width="13.75" style="23" customWidth="1"/>
    <col min="9479" max="9710" width="9.125" style="23"/>
    <col min="9711" max="9711" width="20.625" style="23" customWidth="1"/>
    <col min="9712" max="9712" width="18.25" style="23" customWidth="1"/>
    <col min="9713" max="9713" width="38.875" style="23" customWidth="1"/>
    <col min="9714" max="9714" width="67" style="23" customWidth="1"/>
    <col min="9715" max="9715" width="24" style="23" customWidth="1"/>
    <col min="9716" max="9717" width="13.75" style="23" customWidth="1"/>
    <col min="9718" max="9718" width="30.875" style="23" customWidth="1"/>
    <col min="9719" max="9719" width="6.875" style="23" customWidth="1"/>
    <col min="9720" max="9720" width="10.25" style="23" customWidth="1"/>
    <col min="9721" max="9721" width="13.75" style="23" customWidth="1"/>
    <col min="9722" max="9724" width="28.625" style="23" customWidth="1"/>
    <col min="9725" max="9725" width="13.75" style="23" customWidth="1"/>
    <col min="9726" max="9726" width="6.875" style="23" customWidth="1"/>
    <col min="9727" max="9728" width="13.75" style="23" customWidth="1"/>
    <col min="9729" max="9729" width="9.125" style="23" customWidth="1"/>
    <col min="9730" max="9731" width="13.75" style="23" customWidth="1"/>
    <col min="9732" max="9732" width="20.625" style="23" customWidth="1"/>
    <col min="9733" max="9734" width="13.75" style="23" customWidth="1"/>
    <col min="9735" max="9966" width="9.125" style="23"/>
    <col min="9967" max="9967" width="20.625" style="23" customWidth="1"/>
    <col min="9968" max="9968" width="18.25" style="23" customWidth="1"/>
    <col min="9969" max="9969" width="38.875" style="23" customWidth="1"/>
    <col min="9970" max="9970" width="67" style="23" customWidth="1"/>
    <col min="9971" max="9971" width="24" style="23" customWidth="1"/>
    <col min="9972" max="9973" width="13.75" style="23" customWidth="1"/>
    <col min="9974" max="9974" width="30.875" style="23" customWidth="1"/>
    <col min="9975" max="9975" width="6.875" style="23" customWidth="1"/>
    <col min="9976" max="9976" width="10.25" style="23" customWidth="1"/>
    <col min="9977" max="9977" width="13.75" style="23" customWidth="1"/>
    <col min="9978" max="9980" width="28.625" style="23" customWidth="1"/>
    <col min="9981" max="9981" width="13.75" style="23" customWidth="1"/>
    <col min="9982" max="9982" width="6.875" style="23" customWidth="1"/>
    <col min="9983" max="9984" width="13.75" style="23" customWidth="1"/>
    <col min="9985" max="9985" width="9.125" style="23" customWidth="1"/>
    <col min="9986" max="9987" width="13.75" style="23" customWidth="1"/>
    <col min="9988" max="9988" width="20.625" style="23" customWidth="1"/>
    <col min="9989" max="9990" width="13.75" style="23" customWidth="1"/>
    <col min="9991" max="10222" width="9.125" style="23"/>
    <col min="10223" max="10223" width="20.625" style="23" customWidth="1"/>
    <col min="10224" max="10224" width="18.25" style="23" customWidth="1"/>
    <col min="10225" max="10225" width="38.875" style="23" customWidth="1"/>
    <col min="10226" max="10226" width="67" style="23" customWidth="1"/>
    <col min="10227" max="10227" width="24" style="23" customWidth="1"/>
    <col min="10228" max="10229" width="13.75" style="23" customWidth="1"/>
    <col min="10230" max="10230" width="30.875" style="23" customWidth="1"/>
    <col min="10231" max="10231" width="6.875" style="23" customWidth="1"/>
    <col min="10232" max="10232" width="10.25" style="23" customWidth="1"/>
    <col min="10233" max="10233" width="13.75" style="23" customWidth="1"/>
    <col min="10234" max="10236" width="28.625" style="23" customWidth="1"/>
    <col min="10237" max="10237" width="13.75" style="23" customWidth="1"/>
    <col min="10238" max="10238" width="6.875" style="23" customWidth="1"/>
    <col min="10239" max="10240" width="13.75" style="23" customWidth="1"/>
    <col min="10241" max="10241" width="9.125" style="23" customWidth="1"/>
    <col min="10242" max="10243" width="13.75" style="23" customWidth="1"/>
    <col min="10244" max="10244" width="20.625" style="23" customWidth="1"/>
    <col min="10245" max="10246" width="13.75" style="23" customWidth="1"/>
    <col min="10247" max="10478" width="9.125" style="23"/>
    <col min="10479" max="10479" width="20.625" style="23" customWidth="1"/>
    <col min="10480" max="10480" width="18.25" style="23" customWidth="1"/>
    <col min="10481" max="10481" width="38.875" style="23" customWidth="1"/>
    <col min="10482" max="10482" width="67" style="23" customWidth="1"/>
    <col min="10483" max="10483" width="24" style="23" customWidth="1"/>
    <col min="10484" max="10485" width="13.75" style="23" customWidth="1"/>
    <col min="10486" max="10486" width="30.875" style="23" customWidth="1"/>
    <col min="10487" max="10487" width="6.875" style="23" customWidth="1"/>
    <col min="10488" max="10488" width="10.25" style="23" customWidth="1"/>
    <col min="10489" max="10489" width="13.75" style="23" customWidth="1"/>
    <col min="10490" max="10492" width="28.625" style="23" customWidth="1"/>
    <col min="10493" max="10493" width="13.75" style="23" customWidth="1"/>
    <col min="10494" max="10494" width="6.875" style="23" customWidth="1"/>
    <col min="10495" max="10496" width="13.75" style="23" customWidth="1"/>
    <col min="10497" max="10497" width="9.125" style="23" customWidth="1"/>
    <col min="10498" max="10499" width="13.75" style="23" customWidth="1"/>
    <col min="10500" max="10500" width="20.625" style="23" customWidth="1"/>
    <col min="10501" max="10502" width="13.75" style="23" customWidth="1"/>
    <col min="10503" max="10734" width="9.125" style="23"/>
    <col min="10735" max="10735" width="20.625" style="23" customWidth="1"/>
    <col min="10736" max="10736" width="18.25" style="23" customWidth="1"/>
    <col min="10737" max="10737" width="38.875" style="23" customWidth="1"/>
    <col min="10738" max="10738" width="67" style="23" customWidth="1"/>
    <col min="10739" max="10739" width="24" style="23" customWidth="1"/>
    <col min="10740" max="10741" width="13.75" style="23" customWidth="1"/>
    <col min="10742" max="10742" width="30.875" style="23" customWidth="1"/>
    <col min="10743" max="10743" width="6.875" style="23" customWidth="1"/>
    <col min="10744" max="10744" width="10.25" style="23" customWidth="1"/>
    <col min="10745" max="10745" width="13.75" style="23" customWidth="1"/>
    <col min="10746" max="10748" width="28.625" style="23" customWidth="1"/>
    <col min="10749" max="10749" width="13.75" style="23" customWidth="1"/>
    <col min="10750" max="10750" width="6.875" style="23" customWidth="1"/>
    <col min="10751" max="10752" width="13.75" style="23" customWidth="1"/>
    <col min="10753" max="10753" width="9.125" style="23" customWidth="1"/>
    <col min="10754" max="10755" width="13.75" style="23" customWidth="1"/>
    <col min="10756" max="10756" width="20.625" style="23" customWidth="1"/>
    <col min="10757" max="10758" width="13.75" style="23" customWidth="1"/>
    <col min="10759" max="10990" width="9.125" style="23"/>
    <col min="10991" max="10991" width="20.625" style="23" customWidth="1"/>
    <col min="10992" max="10992" width="18.25" style="23" customWidth="1"/>
    <col min="10993" max="10993" width="38.875" style="23" customWidth="1"/>
    <col min="10994" max="10994" width="67" style="23" customWidth="1"/>
    <col min="10995" max="10995" width="24" style="23" customWidth="1"/>
    <col min="10996" max="10997" width="13.75" style="23" customWidth="1"/>
    <col min="10998" max="10998" width="30.875" style="23" customWidth="1"/>
    <col min="10999" max="10999" width="6.875" style="23" customWidth="1"/>
    <col min="11000" max="11000" width="10.25" style="23" customWidth="1"/>
    <col min="11001" max="11001" width="13.75" style="23" customWidth="1"/>
    <col min="11002" max="11004" width="28.625" style="23" customWidth="1"/>
    <col min="11005" max="11005" width="13.75" style="23" customWidth="1"/>
    <col min="11006" max="11006" width="6.875" style="23" customWidth="1"/>
    <col min="11007" max="11008" width="13.75" style="23" customWidth="1"/>
    <col min="11009" max="11009" width="9.125" style="23" customWidth="1"/>
    <col min="11010" max="11011" width="13.75" style="23" customWidth="1"/>
    <col min="11012" max="11012" width="20.625" style="23" customWidth="1"/>
    <col min="11013" max="11014" width="13.75" style="23" customWidth="1"/>
    <col min="11015" max="11246" width="9.125" style="23"/>
    <col min="11247" max="11247" width="20.625" style="23" customWidth="1"/>
    <col min="11248" max="11248" width="18.25" style="23" customWidth="1"/>
    <col min="11249" max="11249" width="38.875" style="23" customWidth="1"/>
    <col min="11250" max="11250" width="67" style="23" customWidth="1"/>
    <col min="11251" max="11251" width="24" style="23" customWidth="1"/>
    <col min="11252" max="11253" width="13.75" style="23" customWidth="1"/>
    <col min="11254" max="11254" width="30.875" style="23" customWidth="1"/>
    <col min="11255" max="11255" width="6.875" style="23" customWidth="1"/>
    <col min="11256" max="11256" width="10.25" style="23" customWidth="1"/>
    <col min="11257" max="11257" width="13.75" style="23" customWidth="1"/>
    <col min="11258" max="11260" width="28.625" style="23" customWidth="1"/>
    <col min="11261" max="11261" width="13.75" style="23" customWidth="1"/>
    <col min="11262" max="11262" width="6.875" style="23" customWidth="1"/>
    <col min="11263" max="11264" width="13.75" style="23" customWidth="1"/>
    <col min="11265" max="11265" width="9.125" style="23" customWidth="1"/>
    <col min="11266" max="11267" width="13.75" style="23" customWidth="1"/>
    <col min="11268" max="11268" width="20.625" style="23" customWidth="1"/>
    <col min="11269" max="11270" width="13.75" style="23" customWidth="1"/>
    <col min="11271" max="11502" width="9.125" style="23"/>
    <col min="11503" max="11503" width="20.625" style="23" customWidth="1"/>
    <col min="11504" max="11504" width="18.25" style="23" customWidth="1"/>
    <col min="11505" max="11505" width="38.875" style="23" customWidth="1"/>
    <col min="11506" max="11506" width="67" style="23" customWidth="1"/>
    <col min="11507" max="11507" width="24" style="23" customWidth="1"/>
    <col min="11508" max="11509" width="13.75" style="23" customWidth="1"/>
    <col min="11510" max="11510" width="30.875" style="23" customWidth="1"/>
    <col min="11511" max="11511" width="6.875" style="23" customWidth="1"/>
    <col min="11512" max="11512" width="10.25" style="23" customWidth="1"/>
    <col min="11513" max="11513" width="13.75" style="23" customWidth="1"/>
    <col min="11514" max="11516" width="28.625" style="23" customWidth="1"/>
    <col min="11517" max="11517" width="13.75" style="23" customWidth="1"/>
    <col min="11518" max="11518" width="6.875" style="23" customWidth="1"/>
    <col min="11519" max="11520" width="13.75" style="23" customWidth="1"/>
    <col min="11521" max="11521" width="9.125" style="23" customWidth="1"/>
    <col min="11522" max="11523" width="13.75" style="23" customWidth="1"/>
    <col min="11524" max="11524" width="20.625" style="23" customWidth="1"/>
    <col min="11525" max="11526" width="13.75" style="23" customWidth="1"/>
    <col min="11527" max="11758" width="9.125" style="23"/>
    <col min="11759" max="11759" width="20.625" style="23" customWidth="1"/>
    <col min="11760" max="11760" width="18.25" style="23" customWidth="1"/>
    <col min="11761" max="11761" width="38.875" style="23" customWidth="1"/>
    <col min="11762" max="11762" width="67" style="23" customWidth="1"/>
    <col min="11763" max="11763" width="24" style="23" customWidth="1"/>
    <col min="11764" max="11765" width="13.75" style="23" customWidth="1"/>
    <col min="11766" max="11766" width="30.875" style="23" customWidth="1"/>
    <col min="11767" max="11767" width="6.875" style="23" customWidth="1"/>
    <col min="11768" max="11768" width="10.25" style="23" customWidth="1"/>
    <col min="11769" max="11769" width="13.75" style="23" customWidth="1"/>
    <col min="11770" max="11772" width="28.625" style="23" customWidth="1"/>
    <col min="11773" max="11773" width="13.75" style="23" customWidth="1"/>
    <col min="11774" max="11774" width="6.875" style="23" customWidth="1"/>
    <col min="11775" max="11776" width="13.75" style="23" customWidth="1"/>
    <col min="11777" max="11777" width="9.125" style="23" customWidth="1"/>
    <col min="11778" max="11779" width="13.75" style="23" customWidth="1"/>
    <col min="11780" max="11780" width="20.625" style="23" customWidth="1"/>
    <col min="11781" max="11782" width="13.75" style="23" customWidth="1"/>
    <col min="11783" max="12014" width="9.125" style="23"/>
    <col min="12015" max="12015" width="20.625" style="23" customWidth="1"/>
    <col min="12016" max="12016" width="18.25" style="23" customWidth="1"/>
    <col min="12017" max="12017" width="38.875" style="23" customWidth="1"/>
    <col min="12018" max="12018" width="67" style="23" customWidth="1"/>
    <col min="12019" max="12019" width="24" style="23" customWidth="1"/>
    <col min="12020" max="12021" width="13.75" style="23" customWidth="1"/>
    <col min="12022" max="12022" width="30.875" style="23" customWidth="1"/>
    <col min="12023" max="12023" width="6.875" style="23" customWidth="1"/>
    <col min="12024" max="12024" width="10.25" style="23" customWidth="1"/>
    <col min="12025" max="12025" width="13.75" style="23" customWidth="1"/>
    <col min="12026" max="12028" width="28.625" style="23" customWidth="1"/>
    <col min="12029" max="12029" width="13.75" style="23" customWidth="1"/>
    <col min="12030" max="12030" width="6.875" style="23" customWidth="1"/>
    <col min="12031" max="12032" width="13.75" style="23" customWidth="1"/>
    <col min="12033" max="12033" width="9.125" style="23" customWidth="1"/>
    <col min="12034" max="12035" width="13.75" style="23" customWidth="1"/>
    <col min="12036" max="12036" width="20.625" style="23" customWidth="1"/>
    <col min="12037" max="12038" width="13.75" style="23" customWidth="1"/>
    <col min="12039" max="12270" width="9.125" style="23"/>
    <col min="12271" max="12271" width="20.625" style="23" customWidth="1"/>
    <col min="12272" max="12272" width="18.25" style="23" customWidth="1"/>
    <col min="12273" max="12273" width="38.875" style="23" customWidth="1"/>
    <col min="12274" max="12274" width="67" style="23" customWidth="1"/>
    <col min="12275" max="12275" width="24" style="23" customWidth="1"/>
    <col min="12276" max="12277" width="13.75" style="23" customWidth="1"/>
    <col min="12278" max="12278" width="30.875" style="23" customWidth="1"/>
    <col min="12279" max="12279" width="6.875" style="23" customWidth="1"/>
    <col min="12280" max="12280" width="10.25" style="23" customWidth="1"/>
    <col min="12281" max="12281" width="13.75" style="23" customWidth="1"/>
    <col min="12282" max="12284" width="28.625" style="23" customWidth="1"/>
    <col min="12285" max="12285" width="13.75" style="23" customWidth="1"/>
    <col min="12286" max="12286" width="6.875" style="23" customWidth="1"/>
    <col min="12287" max="12288" width="13.75" style="23" customWidth="1"/>
    <col min="12289" max="12289" width="9.125" style="23" customWidth="1"/>
    <col min="12290" max="12291" width="13.75" style="23" customWidth="1"/>
    <col min="12292" max="12292" width="20.625" style="23" customWidth="1"/>
    <col min="12293" max="12294" width="13.75" style="23" customWidth="1"/>
    <col min="12295" max="12526" width="9.125" style="23"/>
    <col min="12527" max="12527" width="20.625" style="23" customWidth="1"/>
    <col min="12528" max="12528" width="18.25" style="23" customWidth="1"/>
    <col min="12529" max="12529" width="38.875" style="23" customWidth="1"/>
    <col min="12530" max="12530" width="67" style="23" customWidth="1"/>
    <col min="12531" max="12531" width="24" style="23" customWidth="1"/>
    <col min="12532" max="12533" width="13.75" style="23" customWidth="1"/>
    <col min="12534" max="12534" width="30.875" style="23" customWidth="1"/>
    <col min="12535" max="12535" width="6.875" style="23" customWidth="1"/>
    <col min="12536" max="12536" width="10.25" style="23" customWidth="1"/>
    <col min="12537" max="12537" width="13.75" style="23" customWidth="1"/>
    <col min="12538" max="12540" width="28.625" style="23" customWidth="1"/>
    <col min="12541" max="12541" width="13.75" style="23" customWidth="1"/>
    <col min="12542" max="12542" width="6.875" style="23" customWidth="1"/>
    <col min="12543" max="12544" width="13.75" style="23" customWidth="1"/>
    <col min="12545" max="12545" width="9.125" style="23" customWidth="1"/>
    <col min="12546" max="12547" width="13.75" style="23" customWidth="1"/>
    <col min="12548" max="12548" width="20.625" style="23" customWidth="1"/>
    <col min="12549" max="12550" width="13.75" style="23" customWidth="1"/>
    <col min="12551" max="12782" width="9.125" style="23"/>
    <col min="12783" max="12783" width="20.625" style="23" customWidth="1"/>
    <col min="12784" max="12784" width="18.25" style="23" customWidth="1"/>
    <col min="12785" max="12785" width="38.875" style="23" customWidth="1"/>
    <col min="12786" max="12786" width="67" style="23" customWidth="1"/>
    <col min="12787" max="12787" width="24" style="23" customWidth="1"/>
    <col min="12788" max="12789" width="13.75" style="23" customWidth="1"/>
    <col min="12790" max="12790" width="30.875" style="23" customWidth="1"/>
    <col min="12791" max="12791" width="6.875" style="23" customWidth="1"/>
    <col min="12792" max="12792" width="10.25" style="23" customWidth="1"/>
    <col min="12793" max="12793" width="13.75" style="23" customWidth="1"/>
    <col min="12794" max="12796" width="28.625" style="23" customWidth="1"/>
    <col min="12797" max="12797" width="13.75" style="23" customWidth="1"/>
    <col min="12798" max="12798" width="6.875" style="23" customWidth="1"/>
    <col min="12799" max="12800" width="13.75" style="23" customWidth="1"/>
    <col min="12801" max="12801" width="9.125" style="23" customWidth="1"/>
    <col min="12802" max="12803" width="13.75" style="23" customWidth="1"/>
    <col min="12804" max="12804" width="20.625" style="23" customWidth="1"/>
    <col min="12805" max="12806" width="13.75" style="23" customWidth="1"/>
    <col min="12807" max="13038" width="9.125" style="23"/>
    <col min="13039" max="13039" width="20.625" style="23" customWidth="1"/>
    <col min="13040" max="13040" width="18.25" style="23" customWidth="1"/>
    <col min="13041" max="13041" width="38.875" style="23" customWidth="1"/>
    <col min="13042" max="13042" width="67" style="23" customWidth="1"/>
    <col min="13043" max="13043" width="24" style="23" customWidth="1"/>
    <col min="13044" max="13045" width="13.75" style="23" customWidth="1"/>
    <col min="13046" max="13046" width="30.875" style="23" customWidth="1"/>
    <col min="13047" max="13047" width="6.875" style="23" customWidth="1"/>
    <col min="13048" max="13048" width="10.25" style="23" customWidth="1"/>
    <col min="13049" max="13049" width="13.75" style="23" customWidth="1"/>
    <col min="13050" max="13052" width="28.625" style="23" customWidth="1"/>
    <col min="13053" max="13053" width="13.75" style="23" customWidth="1"/>
    <col min="13054" max="13054" width="6.875" style="23" customWidth="1"/>
    <col min="13055" max="13056" width="13.75" style="23" customWidth="1"/>
    <col min="13057" max="13057" width="9.125" style="23" customWidth="1"/>
    <col min="13058" max="13059" width="13.75" style="23" customWidth="1"/>
    <col min="13060" max="13060" width="20.625" style="23" customWidth="1"/>
    <col min="13061" max="13062" width="13.75" style="23" customWidth="1"/>
    <col min="13063" max="13294" width="9.125" style="23"/>
    <col min="13295" max="13295" width="20.625" style="23" customWidth="1"/>
    <col min="13296" max="13296" width="18.25" style="23" customWidth="1"/>
    <col min="13297" max="13297" width="38.875" style="23" customWidth="1"/>
    <col min="13298" max="13298" width="67" style="23" customWidth="1"/>
    <col min="13299" max="13299" width="24" style="23" customWidth="1"/>
    <col min="13300" max="13301" width="13.75" style="23" customWidth="1"/>
    <col min="13302" max="13302" width="30.875" style="23" customWidth="1"/>
    <col min="13303" max="13303" width="6.875" style="23" customWidth="1"/>
    <col min="13304" max="13304" width="10.25" style="23" customWidth="1"/>
    <col min="13305" max="13305" width="13.75" style="23" customWidth="1"/>
    <col min="13306" max="13308" width="28.625" style="23" customWidth="1"/>
    <col min="13309" max="13309" width="13.75" style="23" customWidth="1"/>
    <col min="13310" max="13310" width="6.875" style="23" customWidth="1"/>
    <col min="13311" max="13312" width="13.75" style="23" customWidth="1"/>
    <col min="13313" max="13313" width="9.125" style="23" customWidth="1"/>
    <col min="13314" max="13315" width="13.75" style="23" customWidth="1"/>
    <col min="13316" max="13316" width="20.625" style="23" customWidth="1"/>
    <col min="13317" max="13318" width="13.75" style="23" customWidth="1"/>
    <col min="13319" max="13550" width="9.125" style="23"/>
    <col min="13551" max="13551" width="20.625" style="23" customWidth="1"/>
    <col min="13552" max="13552" width="18.25" style="23" customWidth="1"/>
    <col min="13553" max="13553" width="38.875" style="23" customWidth="1"/>
    <col min="13554" max="13554" width="67" style="23" customWidth="1"/>
    <col min="13555" max="13555" width="24" style="23" customWidth="1"/>
    <col min="13556" max="13557" width="13.75" style="23" customWidth="1"/>
    <col min="13558" max="13558" width="30.875" style="23" customWidth="1"/>
    <col min="13559" max="13559" width="6.875" style="23" customWidth="1"/>
    <col min="13560" max="13560" width="10.25" style="23" customWidth="1"/>
    <col min="13561" max="13561" width="13.75" style="23" customWidth="1"/>
    <col min="13562" max="13564" width="28.625" style="23" customWidth="1"/>
    <col min="13565" max="13565" width="13.75" style="23" customWidth="1"/>
    <col min="13566" max="13566" width="6.875" style="23" customWidth="1"/>
    <col min="13567" max="13568" width="13.75" style="23" customWidth="1"/>
    <col min="13569" max="13569" width="9.125" style="23" customWidth="1"/>
    <col min="13570" max="13571" width="13.75" style="23" customWidth="1"/>
    <col min="13572" max="13572" width="20.625" style="23" customWidth="1"/>
    <col min="13573" max="13574" width="13.75" style="23" customWidth="1"/>
    <col min="13575" max="13806" width="9.125" style="23"/>
    <col min="13807" max="13807" width="20.625" style="23" customWidth="1"/>
    <col min="13808" max="13808" width="18.25" style="23" customWidth="1"/>
    <col min="13809" max="13809" width="38.875" style="23" customWidth="1"/>
    <col min="13810" max="13810" width="67" style="23" customWidth="1"/>
    <col min="13811" max="13811" width="24" style="23" customWidth="1"/>
    <col min="13812" max="13813" width="13.75" style="23" customWidth="1"/>
    <col min="13814" max="13814" width="30.875" style="23" customWidth="1"/>
    <col min="13815" max="13815" width="6.875" style="23" customWidth="1"/>
    <col min="13816" max="13816" width="10.25" style="23" customWidth="1"/>
    <col min="13817" max="13817" width="13.75" style="23" customWidth="1"/>
    <col min="13818" max="13820" width="28.625" style="23" customWidth="1"/>
    <col min="13821" max="13821" width="13.75" style="23" customWidth="1"/>
    <col min="13822" max="13822" width="6.875" style="23" customWidth="1"/>
    <col min="13823" max="13824" width="13.75" style="23" customWidth="1"/>
    <col min="13825" max="13825" width="9.125" style="23" customWidth="1"/>
    <col min="13826" max="13827" width="13.75" style="23" customWidth="1"/>
    <col min="13828" max="13828" width="20.625" style="23" customWidth="1"/>
    <col min="13829" max="13830" width="13.75" style="23" customWidth="1"/>
    <col min="13831" max="14062" width="9.125" style="23"/>
    <col min="14063" max="14063" width="20.625" style="23" customWidth="1"/>
    <col min="14064" max="14064" width="18.25" style="23" customWidth="1"/>
    <col min="14065" max="14065" width="38.875" style="23" customWidth="1"/>
    <col min="14066" max="14066" width="67" style="23" customWidth="1"/>
    <col min="14067" max="14067" width="24" style="23" customWidth="1"/>
    <col min="14068" max="14069" width="13.75" style="23" customWidth="1"/>
    <col min="14070" max="14070" width="30.875" style="23" customWidth="1"/>
    <col min="14071" max="14071" width="6.875" style="23" customWidth="1"/>
    <col min="14072" max="14072" width="10.25" style="23" customWidth="1"/>
    <col min="14073" max="14073" width="13.75" style="23" customWidth="1"/>
    <col min="14074" max="14076" width="28.625" style="23" customWidth="1"/>
    <col min="14077" max="14077" width="13.75" style="23" customWidth="1"/>
    <col min="14078" max="14078" width="6.875" style="23" customWidth="1"/>
    <col min="14079" max="14080" width="13.75" style="23" customWidth="1"/>
    <col min="14081" max="14081" width="9.125" style="23" customWidth="1"/>
    <col min="14082" max="14083" width="13.75" style="23" customWidth="1"/>
    <col min="14084" max="14084" width="20.625" style="23" customWidth="1"/>
    <col min="14085" max="14086" width="13.75" style="23" customWidth="1"/>
    <col min="14087" max="14318" width="9.125" style="23"/>
    <col min="14319" max="14319" width="20.625" style="23" customWidth="1"/>
    <col min="14320" max="14320" width="18.25" style="23" customWidth="1"/>
    <col min="14321" max="14321" width="38.875" style="23" customWidth="1"/>
    <col min="14322" max="14322" width="67" style="23" customWidth="1"/>
    <col min="14323" max="14323" width="24" style="23" customWidth="1"/>
    <col min="14324" max="14325" width="13.75" style="23" customWidth="1"/>
    <col min="14326" max="14326" width="30.875" style="23" customWidth="1"/>
    <col min="14327" max="14327" width="6.875" style="23" customWidth="1"/>
    <col min="14328" max="14328" width="10.25" style="23" customWidth="1"/>
    <col min="14329" max="14329" width="13.75" style="23" customWidth="1"/>
    <col min="14330" max="14332" width="28.625" style="23" customWidth="1"/>
    <col min="14333" max="14333" width="13.75" style="23" customWidth="1"/>
    <col min="14334" max="14334" width="6.875" style="23" customWidth="1"/>
    <col min="14335" max="14336" width="13.75" style="23" customWidth="1"/>
    <col min="14337" max="14337" width="9.125" style="23" customWidth="1"/>
    <col min="14338" max="14339" width="13.75" style="23" customWidth="1"/>
    <col min="14340" max="14340" width="20.625" style="23" customWidth="1"/>
    <col min="14341" max="14342" width="13.75" style="23" customWidth="1"/>
    <col min="14343" max="14574" width="9.125" style="23"/>
    <col min="14575" max="14575" width="20.625" style="23" customWidth="1"/>
    <col min="14576" max="14576" width="18.25" style="23" customWidth="1"/>
    <col min="14577" max="14577" width="38.875" style="23" customWidth="1"/>
    <col min="14578" max="14578" width="67" style="23" customWidth="1"/>
    <col min="14579" max="14579" width="24" style="23" customWidth="1"/>
    <col min="14580" max="14581" width="13.75" style="23" customWidth="1"/>
    <col min="14582" max="14582" width="30.875" style="23" customWidth="1"/>
    <col min="14583" max="14583" width="6.875" style="23" customWidth="1"/>
    <col min="14584" max="14584" width="10.25" style="23" customWidth="1"/>
    <col min="14585" max="14585" width="13.75" style="23" customWidth="1"/>
    <col min="14586" max="14588" width="28.625" style="23" customWidth="1"/>
    <col min="14589" max="14589" width="13.75" style="23" customWidth="1"/>
    <col min="14590" max="14590" width="6.875" style="23" customWidth="1"/>
    <col min="14591" max="14592" width="13.75" style="23" customWidth="1"/>
    <col min="14593" max="14593" width="9.125" style="23" customWidth="1"/>
    <col min="14594" max="14595" width="13.75" style="23" customWidth="1"/>
    <col min="14596" max="14596" width="20.625" style="23" customWidth="1"/>
    <col min="14597" max="14598" width="13.75" style="23" customWidth="1"/>
    <col min="14599" max="14830" width="9.125" style="23"/>
    <col min="14831" max="14831" width="20.625" style="23" customWidth="1"/>
    <col min="14832" max="14832" width="18.25" style="23" customWidth="1"/>
    <col min="14833" max="14833" width="38.875" style="23" customWidth="1"/>
    <col min="14834" max="14834" width="67" style="23" customWidth="1"/>
    <col min="14835" max="14835" width="24" style="23" customWidth="1"/>
    <col min="14836" max="14837" width="13.75" style="23" customWidth="1"/>
    <col min="14838" max="14838" width="30.875" style="23" customWidth="1"/>
    <col min="14839" max="14839" width="6.875" style="23" customWidth="1"/>
    <col min="14840" max="14840" width="10.25" style="23" customWidth="1"/>
    <col min="14841" max="14841" width="13.75" style="23" customWidth="1"/>
    <col min="14842" max="14844" width="28.625" style="23" customWidth="1"/>
    <col min="14845" max="14845" width="13.75" style="23" customWidth="1"/>
    <col min="14846" max="14846" width="6.875" style="23" customWidth="1"/>
    <col min="14847" max="14848" width="13.75" style="23" customWidth="1"/>
    <col min="14849" max="14849" width="9.125" style="23" customWidth="1"/>
    <col min="14850" max="14851" width="13.75" style="23" customWidth="1"/>
    <col min="14852" max="14852" width="20.625" style="23" customWidth="1"/>
    <col min="14853" max="14854" width="13.75" style="23" customWidth="1"/>
    <col min="14855" max="15086" width="9.125" style="23"/>
    <col min="15087" max="15087" width="20.625" style="23" customWidth="1"/>
    <col min="15088" max="15088" width="18.25" style="23" customWidth="1"/>
    <col min="15089" max="15089" width="38.875" style="23" customWidth="1"/>
    <col min="15090" max="15090" width="67" style="23" customWidth="1"/>
    <col min="15091" max="15091" width="24" style="23" customWidth="1"/>
    <col min="15092" max="15093" width="13.75" style="23" customWidth="1"/>
    <col min="15094" max="15094" width="30.875" style="23" customWidth="1"/>
    <col min="15095" max="15095" width="6.875" style="23" customWidth="1"/>
    <col min="15096" max="15096" width="10.25" style="23" customWidth="1"/>
    <col min="15097" max="15097" width="13.75" style="23" customWidth="1"/>
    <col min="15098" max="15100" width="28.625" style="23" customWidth="1"/>
    <col min="15101" max="15101" width="13.75" style="23" customWidth="1"/>
    <col min="15102" max="15102" width="6.875" style="23" customWidth="1"/>
    <col min="15103" max="15104" width="13.75" style="23" customWidth="1"/>
    <col min="15105" max="15105" width="9.125" style="23" customWidth="1"/>
    <col min="15106" max="15107" width="13.75" style="23" customWidth="1"/>
    <col min="15108" max="15108" width="20.625" style="23" customWidth="1"/>
    <col min="15109" max="15110" width="13.75" style="23" customWidth="1"/>
    <col min="15111" max="15342" width="9.125" style="23"/>
    <col min="15343" max="15343" width="20.625" style="23" customWidth="1"/>
    <col min="15344" max="15344" width="18.25" style="23" customWidth="1"/>
    <col min="15345" max="15345" width="38.875" style="23" customWidth="1"/>
    <col min="15346" max="15346" width="67" style="23" customWidth="1"/>
    <col min="15347" max="15347" width="24" style="23" customWidth="1"/>
    <col min="15348" max="15349" width="13.75" style="23" customWidth="1"/>
    <col min="15350" max="15350" width="30.875" style="23" customWidth="1"/>
    <col min="15351" max="15351" width="6.875" style="23" customWidth="1"/>
    <col min="15352" max="15352" width="10.25" style="23" customWidth="1"/>
    <col min="15353" max="15353" width="13.75" style="23" customWidth="1"/>
    <col min="15354" max="15356" width="28.625" style="23" customWidth="1"/>
    <col min="15357" max="15357" width="13.75" style="23" customWidth="1"/>
    <col min="15358" max="15358" width="6.875" style="23" customWidth="1"/>
    <col min="15359" max="15360" width="13.75" style="23" customWidth="1"/>
    <col min="15361" max="15361" width="9.125" style="23" customWidth="1"/>
    <col min="15362" max="15363" width="13.75" style="23" customWidth="1"/>
    <col min="15364" max="15364" width="20.625" style="23" customWidth="1"/>
    <col min="15365" max="15366" width="13.75" style="23" customWidth="1"/>
    <col min="15367" max="15598" width="9.125" style="23"/>
    <col min="15599" max="15599" width="20.625" style="23" customWidth="1"/>
    <col min="15600" max="15600" width="18.25" style="23" customWidth="1"/>
    <col min="15601" max="15601" width="38.875" style="23" customWidth="1"/>
    <col min="15602" max="15602" width="67" style="23" customWidth="1"/>
    <col min="15603" max="15603" width="24" style="23" customWidth="1"/>
    <col min="15604" max="15605" width="13.75" style="23" customWidth="1"/>
    <col min="15606" max="15606" width="30.875" style="23" customWidth="1"/>
    <col min="15607" max="15607" width="6.875" style="23" customWidth="1"/>
    <col min="15608" max="15608" width="10.25" style="23" customWidth="1"/>
    <col min="15609" max="15609" width="13.75" style="23" customWidth="1"/>
    <col min="15610" max="15612" width="28.625" style="23" customWidth="1"/>
    <col min="15613" max="15613" width="13.75" style="23" customWidth="1"/>
    <col min="15614" max="15614" width="6.875" style="23" customWidth="1"/>
    <col min="15615" max="15616" width="13.75" style="23" customWidth="1"/>
    <col min="15617" max="15617" width="9.125" style="23" customWidth="1"/>
    <col min="15618" max="15619" width="13.75" style="23" customWidth="1"/>
    <col min="15620" max="15620" width="20.625" style="23" customWidth="1"/>
    <col min="15621" max="15622" width="13.75" style="23" customWidth="1"/>
    <col min="15623" max="15854" width="9.125" style="23"/>
    <col min="15855" max="15855" width="20.625" style="23" customWidth="1"/>
    <col min="15856" max="15856" width="18.25" style="23" customWidth="1"/>
    <col min="15857" max="15857" width="38.875" style="23" customWidth="1"/>
    <col min="15858" max="15858" width="67" style="23" customWidth="1"/>
    <col min="15859" max="15859" width="24" style="23" customWidth="1"/>
    <col min="15860" max="15861" width="13.75" style="23" customWidth="1"/>
    <col min="15862" max="15862" width="30.875" style="23" customWidth="1"/>
    <col min="15863" max="15863" width="6.875" style="23" customWidth="1"/>
    <col min="15864" max="15864" width="10.25" style="23" customWidth="1"/>
    <col min="15865" max="15865" width="13.75" style="23" customWidth="1"/>
    <col min="15866" max="15868" width="28.625" style="23" customWidth="1"/>
    <col min="15869" max="15869" width="13.75" style="23" customWidth="1"/>
    <col min="15870" max="15870" width="6.875" style="23" customWidth="1"/>
    <col min="15871" max="15872" width="13.75" style="23" customWidth="1"/>
    <col min="15873" max="15873" width="9.125" style="23" customWidth="1"/>
    <col min="15874" max="15875" width="13.75" style="23" customWidth="1"/>
    <col min="15876" max="15876" width="20.625" style="23" customWidth="1"/>
    <col min="15877" max="15878" width="13.75" style="23" customWidth="1"/>
    <col min="15879" max="16110" width="9.125" style="23"/>
    <col min="16111" max="16111" width="20.625" style="23" customWidth="1"/>
    <col min="16112" max="16112" width="18.25" style="23" customWidth="1"/>
    <col min="16113" max="16113" width="38.875" style="23" customWidth="1"/>
    <col min="16114" max="16114" width="67" style="23" customWidth="1"/>
    <col min="16115" max="16115" width="24" style="23" customWidth="1"/>
    <col min="16116" max="16117" width="13.75" style="23" customWidth="1"/>
    <col min="16118" max="16118" width="30.875" style="23" customWidth="1"/>
    <col min="16119" max="16119" width="6.875" style="23" customWidth="1"/>
    <col min="16120" max="16120" width="10.25" style="23" customWidth="1"/>
    <col min="16121" max="16121" width="13.75" style="23" customWidth="1"/>
    <col min="16122" max="16124" width="28.625" style="23" customWidth="1"/>
    <col min="16125" max="16125" width="13.75" style="23" customWidth="1"/>
    <col min="16126" max="16126" width="6.875" style="23" customWidth="1"/>
    <col min="16127" max="16128" width="13.75" style="23" customWidth="1"/>
    <col min="16129" max="16129" width="9.125" style="23" customWidth="1"/>
    <col min="16130" max="16131" width="13.75" style="23" customWidth="1"/>
    <col min="16132" max="16132" width="20.625" style="23" customWidth="1"/>
    <col min="16133" max="16134" width="13.75" style="23" customWidth="1"/>
    <col min="16135" max="16384" width="9.125" style="23"/>
  </cols>
  <sheetData>
    <row r="1" spans="1:8">
      <c r="A1" s="24" t="s">
        <v>61</v>
      </c>
      <c r="B1" s="25" t="s">
        <v>320</v>
      </c>
      <c r="C1" s="24" t="s">
        <v>321</v>
      </c>
      <c r="D1" s="24" t="s">
        <v>322</v>
      </c>
      <c r="E1" s="24" t="s">
        <v>323</v>
      </c>
      <c r="F1" s="24" t="s">
        <v>324</v>
      </c>
      <c r="G1" s="24" t="s">
        <v>325</v>
      </c>
      <c r="H1" s="24" t="s">
        <v>326</v>
      </c>
    </row>
    <row r="2" spans="1:8">
      <c r="A2" s="26" t="s">
        <v>327</v>
      </c>
      <c r="B2" s="27">
        <v>5424</v>
      </c>
      <c r="C2" s="26" t="s">
        <v>328</v>
      </c>
      <c r="D2" s="26" t="s">
        <v>329</v>
      </c>
      <c r="E2" s="28">
        <v>-2990</v>
      </c>
      <c r="F2" s="26" t="s">
        <v>330</v>
      </c>
      <c r="G2" s="28">
        <v>0</v>
      </c>
      <c r="H2" s="26" t="s">
        <v>331</v>
      </c>
    </row>
    <row r="3" spans="1:8">
      <c r="A3" s="26" t="s">
        <v>332</v>
      </c>
      <c r="B3" s="28">
        <v>1131</v>
      </c>
      <c r="C3" s="26" t="s">
        <v>328</v>
      </c>
      <c r="D3" s="26" t="s">
        <v>333</v>
      </c>
      <c r="E3" s="28">
        <v>-855</v>
      </c>
      <c r="F3" s="26" t="s">
        <v>330</v>
      </c>
      <c r="G3" s="28">
        <v>0</v>
      </c>
      <c r="H3" s="26" t="s">
        <v>331</v>
      </c>
    </row>
    <row r="4" spans="1:8">
      <c r="A4" s="26" t="s">
        <v>334</v>
      </c>
      <c r="B4" s="27">
        <v>3393</v>
      </c>
      <c r="C4" s="26" t="s">
        <v>328</v>
      </c>
      <c r="D4" s="26" t="s">
        <v>335</v>
      </c>
      <c r="E4" s="28">
        <v>-2565</v>
      </c>
      <c r="F4" s="26" t="s">
        <v>330</v>
      </c>
      <c r="G4" s="28">
        <v>0</v>
      </c>
      <c r="H4" s="26" t="s">
        <v>331</v>
      </c>
    </row>
    <row r="5" spans="1:8">
      <c r="A5" s="26" t="s">
        <v>336</v>
      </c>
      <c r="B5" s="28">
        <v>1264</v>
      </c>
      <c r="C5" s="26" t="s">
        <v>328</v>
      </c>
      <c r="D5" s="26" t="s">
        <v>337</v>
      </c>
      <c r="E5" s="28">
        <v>-957</v>
      </c>
      <c r="F5" s="26" t="s">
        <v>330</v>
      </c>
      <c r="G5" s="28">
        <v>0</v>
      </c>
      <c r="H5" s="26" t="s">
        <v>331</v>
      </c>
    </row>
    <row r="6" spans="1:8">
      <c r="A6" s="26" t="s">
        <v>338</v>
      </c>
      <c r="B6" s="28">
        <v>1264</v>
      </c>
      <c r="C6" s="26" t="s">
        <v>328</v>
      </c>
      <c r="D6" s="26" t="s">
        <v>337</v>
      </c>
      <c r="E6" s="28">
        <v>-957</v>
      </c>
      <c r="F6" s="26" t="s">
        <v>330</v>
      </c>
      <c r="G6" s="28">
        <v>0</v>
      </c>
      <c r="H6" s="26" t="s">
        <v>331</v>
      </c>
    </row>
    <row r="7" spans="1:8">
      <c r="A7" s="26" t="s">
        <v>339</v>
      </c>
      <c r="B7" s="27">
        <v>2528</v>
      </c>
      <c r="C7" s="26" t="s">
        <v>328</v>
      </c>
      <c r="D7" s="26" t="s">
        <v>340</v>
      </c>
      <c r="E7" s="28">
        <v>-1914</v>
      </c>
      <c r="F7" s="26" t="s">
        <v>330</v>
      </c>
      <c r="G7" s="28">
        <v>0</v>
      </c>
      <c r="H7" s="26" t="s">
        <v>331</v>
      </c>
    </row>
    <row r="8" spans="1:8">
      <c r="A8" s="26" t="s">
        <v>341</v>
      </c>
      <c r="B8" s="28">
        <v>1131</v>
      </c>
      <c r="C8" s="26" t="s">
        <v>328</v>
      </c>
      <c r="D8" s="26" t="s">
        <v>333</v>
      </c>
      <c r="E8" s="28">
        <v>-855</v>
      </c>
      <c r="F8" s="26" t="s">
        <v>330</v>
      </c>
      <c r="G8" s="28">
        <v>0</v>
      </c>
      <c r="H8" s="26" t="s">
        <v>331</v>
      </c>
    </row>
    <row r="9" spans="1:8">
      <c r="A9" s="26" t="s">
        <v>342</v>
      </c>
      <c r="B9" s="28">
        <v>1131</v>
      </c>
      <c r="C9" s="26" t="s">
        <v>328</v>
      </c>
      <c r="D9" s="26" t="s">
        <v>333</v>
      </c>
      <c r="E9" s="28">
        <v>-855</v>
      </c>
      <c r="F9" s="26" t="s">
        <v>330</v>
      </c>
      <c r="G9" s="28">
        <v>0</v>
      </c>
      <c r="H9" s="26" t="s">
        <v>331</v>
      </c>
    </row>
    <row r="10" spans="1:8">
      <c r="A10" s="26" t="s">
        <v>343</v>
      </c>
      <c r="B10" s="28">
        <v>1131</v>
      </c>
      <c r="C10" s="26" t="s">
        <v>328</v>
      </c>
      <c r="D10" s="26" t="s">
        <v>333</v>
      </c>
      <c r="E10" s="28">
        <v>-855</v>
      </c>
      <c r="F10" s="26" t="s">
        <v>330</v>
      </c>
      <c r="G10" s="28">
        <v>0</v>
      </c>
      <c r="H10" s="26" t="s">
        <v>331</v>
      </c>
    </row>
    <row r="11" spans="1:8">
      <c r="A11" s="26" t="s">
        <v>344</v>
      </c>
      <c r="B11" s="28">
        <v>1465</v>
      </c>
      <c r="C11" s="26" t="s">
        <v>328</v>
      </c>
      <c r="D11" s="26" t="s">
        <v>345</v>
      </c>
      <c r="E11" s="28">
        <v>-1109</v>
      </c>
      <c r="F11" s="26" t="s">
        <v>330</v>
      </c>
      <c r="G11" s="28">
        <v>0</v>
      </c>
      <c r="H11" s="26" t="s">
        <v>331</v>
      </c>
    </row>
    <row r="12" spans="1:8">
      <c r="A12" s="26" t="s">
        <v>346</v>
      </c>
      <c r="B12" s="28">
        <v>1131</v>
      </c>
      <c r="C12" s="26" t="s">
        <v>328</v>
      </c>
      <c r="D12" s="26" t="s">
        <v>333</v>
      </c>
      <c r="E12" s="28">
        <v>-855</v>
      </c>
      <c r="F12" s="26" t="s">
        <v>330</v>
      </c>
      <c r="G12" s="28">
        <v>0</v>
      </c>
      <c r="H12" s="26" t="s">
        <v>331</v>
      </c>
    </row>
    <row r="13" spans="1:8">
      <c r="A13" s="26" t="s">
        <v>347</v>
      </c>
      <c r="B13" s="28">
        <v>1465</v>
      </c>
      <c r="C13" s="26" t="s">
        <v>328</v>
      </c>
      <c r="D13" s="26" t="s">
        <v>345</v>
      </c>
      <c r="E13" s="28">
        <v>-1109</v>
      </c>
      <c r="F13" s="26" t="s">
        <v>330</v>
      </c>
      <c r="G13" s="28">
        <v>0</v>
      </c>
      <c r="H13" s="26" t="s">
        <v>331</v>
      </c>
    </row>
    <row r="14" spans="1:8">
      <c r="A14" s="26" t="s">
        <v>348</v>
      </c>
      <c r="B14" s="28">
        <v>1465</v>
      </c>
      <c r="C14" s="26" t="s">
        <v>328</v>
      </c>
      <c r="D14" s="26" t="s">
        <v>345</v>
      </c>
      <c r="E14" s="28">
        <v>-1109</v>
      </c>
      <c r="F14" s="26" t="s">
        <v>330</v>
      </c>
      <c r="G14" s="28">
        <v>0</v>
      </c>
      <c r="H14" s="26" t="s">
        <v>331</v>
      </c>
    </row>
    <row r="15" spans="1:8">
      <c r="A15" s="26" t="s">
        <v>349</v>
      </c>
      <c r="B15" s="28">
        <v>1131</v>
      </c>
      <c r="C15" s="26" t="s">
        <v>328</v>
      </c>
      <c r="D15" s="26" t="s">
        <v>333</v>
      </c>
      <c r="E15" s="28">
        <v>-855</v>
      </c>
      <c r="F15" s="26" t="s">
        <v>330</v>
      </c>
      <c r="G15" s="28">
        <v>0</v>
      </c>
      <c r="H15" s="26" t="s">
        <v>331</v>
      </c>
    </row>
    <row r="16" spans="1:8">
      <c r="A16" s="26" t="s">
        <v>350</v>
      </c>
      <c r="B16" s="28">
        <v>1131</v>
      </c>
      <c r="C16" s="26" t="s">
        <v>328</v>
      </c>
      <c r="D16" s="26" t="s">
        <v>333</v>
      </c>
      <c r="E16" s="28">
        <v>-855</v>
      </c>
      <c r="F16" s="26" t="s">
        <v>330</v>
      </c>
      <c r="G16" s="28">
        <v>0</v>
      </c>
      <c r="H16" s="26" t="s">
        <v>331</v>
      </c>
    </row>
    <row r="17" spans="1:8">
      <c r="A17" s="26" t="s">
        <v>351</v>
      </c>
      <c r="B17" s="28">
        <v>1131</v>
      </c>
      <c r="C17" s="26" t="s">
        <v>328</v>
      </c>
      <c r="D17" s="26" t="s">
        <v>333</v>
      </c>
      <c r="E17" s="28">
        <v>-855</v>
      </c>
      <c r="F17" s="26" t="s">
        <v>330</v>
      </c>
      <c r="G17" s="28">
        <v>0</v>
      </c>
      <c r="H17" s="26" t="s">
        <v>331</v>
      </c>
    </row>
    <row r="18" spans="1:8">
      <c r="A18" s="26" t="s">
        <v>352</v>
      </c>
      <c r="B18" s="28">
        <v>1092</v>
      </c>
      <c r="C18" s="26" t="s">
        <v>328</v>
      </c>
      <c r="D18" s="26" t="s">
        <v>353</v>
      </c>
      <c r="E18" s="28">
        <v>-826</v>
      </c>
      <c r="F18" s="26" t="s">
        <v>330</v>
      </c>
      <c r="G18" s="28">
        <v>0</v>
      </c>
      <c r="H18" s="26" t="s">
        <v>331</v>
      </c>
    </row>
    <row r="19" spans="1:8">
      <c r="A19" s="26" t="s">
        <v>354</v>
      </c>
      <c r="B19" s="28">
        <v>1131</v>
      </c>
      <c r="C19" s="26" t="s">
        <v>328</v>
      </c>
      <c r="D19" s="26" t="s">
        <v>333</v>
      </c>
      <c r="E19" s="28">
        <v>-855</v>
      </c>
      <c r="F19" s="26" t="s">
        <v>330</v>
      </c>
      <c r="G19" s="28">
        <v>0</v>
      </c>
      <c r="H19" s="26" t="s">
        <v>331</v>
      </c>
    </row>
    <row r="20" spans="1:8">
      <c r="A20" s="26" t="s">
        <v>355</v>
      </c>
      <c r="B20" s="28">
        <v>1131</v>
      </c>
      <c r="C20" s="26" t="s">
        <v>328</v>
      </c>
      <c r="D20" s="26" t="s">
        <v>333</v>
      </c>
      <c r="E20" s="28">
        <v>-855</v>
      </c>
      <c r="F20" s="26" t="s">
        <v>330</v>
      </c>
      <c r="G20" s="28">
        <v>0</v>
      </c>
      <c r="H20" s="26" t="s">
        <v>331</v>
      </c>
    </row>
    <row r="21" spans="1:8">
      <c r="A21" s="26" t="s">
        <v>356</v>
      </c>
      <c r="B21" s="28">
        <v>1264</v>
      </c>
      <c r="C21" s="26" t="s">
        <v>328</v>
      </c>
      <c r="D21" s="26" t="s">
        <v>337</v>
      </c>
      <c r="E21" s="28">
        <v>-957</v>
      </c>
      <c r="F21" s="26" t="s">
        <v>330</v>
      </c>
      <c r="G21" s="28">
        <v>0</v>
      </c>
      <c r="H21" s="26" t="s">
        <v>331</v>
      </c>
    </row>
    <row r="22" spans="1:8">
      <c r="A22" s="26" t="s">
        <v>357</v>
      </c>
      <c r="B22" s="28">
        <v>1465</v>
      </c>
      <c r="C22" s="26" t="s">
        <v>328</v>
      </c>
      <c r="D22" s="26" t="s">
        <v>345</v>
      </c>
      <c r="E22" s="28">
        <v>-1109</v>
      </c>
      <c r="F22" s="26" t="s">
        <v>330</v>
      </c>
      <c r="G22" s="28">
        <v>0</v>
      </c>
      <c r="H22" s="26" t="s">
        <v>331</v>
      </c>
    </row>
    <row r="23" spans="1:8">
      <c r="A23" s="26" t="s">
        <v>358</v>
      </c>
      <c r="B23" s="27">
        <v>5314</v>
      </c>
      <c r="C23" s="26" t="s">
        <v>328</v>
      </c>
      <c r="D23" s="26" t="s">
        <v>359</v>
      </c>
      <c r="E23" s="28">
        <v>-2879</v>
      </c>
      <c r="F23" s="26" t="s">
        <v>330</v>
      </c>
      <c r="G23" s="28">
        <v>0</v>
      </c>
      <c r="H23" s="26" t="s">
        <v>331</v>
      </c>
    </row>
    <row r="24" spans="1:8">
      <c r="A24" s="26" t="s">
        <v>360</v>
      </c>
      <c r="B24" s="28">
        <v>1264</v>
      </c>
      <c r="C24" s="26" t="s">
        <v>328</v>
      </c>
      <c r="D24" s="26" t="s">
        <v>337</v>
      </c>
      <c r="E24" s="28">
        <v>-957</v>
      </c>
      <c r="F24" s="26" t="s">
        <v>330</v>
      </c>
      <c r="G24" s="28">
        <v>0</v>
      </c>
      <c r="H24" s="26" t="s">
        <v>331</v>
      </c>
    </row>
    <row r="25" spans="1:8">
      <c r="A25" s="26" t="s">
        <v>361</v>
      </c>
      <c r="B25" s="28">
        <v>1426</v>
      </c>
      <c r="C25" s="26" t="s">
        <v>328</v>
      </c>
      <c r="D25" s="26" t="s">
        <v>362</v>
      </c>
      <c r="E25" s="28">
        <v>-612</v>
      </c>
      <c r="F25" s="26" t="s">
        <v>330</v>
      </c>
      <c r="G25" s="28">
        <v>0</v>
      </c>
      <c r="H25" s="26" t="s">
        <v>331</v>
      </c>
    </row>
    <row r="26" spans="1:8">
      <c r="A26" s="26" t="s">
        <v>363</v>
      </c>
      <c r="B26" s="28">
        <v>1131</v>
      </c>
      <c r="C26" s="26" t="s">
        <v>328</v>
      </c>
      <c r="D26" s="26" t="s">
        <v>333</v>
      </c>
      <c r="E26" s="28">
        <v>-855</v>
      </c>
      <c r="F26" s="26" t="s">
        <v>330</v>
      </c>
      <c r="G26" s="28">
        <v>0</v>
      </c>
      <c r="H26" s="26" t="s">
        <v>331</v>
      </c>
    </row>
    <row r="27" spans="1:8">
      <c r="A27" s="26" t="s">
        <v>364</v>
      </c>
      <c r="B27" s="28">
        <v>1131</v>
      </c>
      <c r="C27" s="26" t="s">
        <v>328</v>
      </c>
      <c r="D27" s="26" t="s">
        <v>333</v>
      </c>
      <c r="E27" s="28">
        <v>-855</v>
      </c>
      <c r="F27" s="26" t="s">
        <v>330</v>
      </c>
      <c r="G27" s="28">
        <v>0</v>
      </c>
      <c r="H27" s="26" t="s">
        <v>331</v>
      </c>
    </row>
    <row r="28" spans="1:8">
      <c r="A28" s="26" t="s">
        <v>365</v>
      </c>
      <c r="B28" s="28">
        <v>1131</v>
      </c>
      <c r="C28" s="26" t="s">
        <v>328</v>
      </c>
      <c r="D28" s="26" t="s">
        <v>333</v>
      </c>
      <c r="E28" s="28">
        <v>-855</v>
      </c>
      <c r="F28" s="26" t="s">
        <v>330</v>
      </c>
      <c r="G28" s="28">
        <v>0</v>
      </c>
      <c r="H28" s="26" t="s">
        <v>331</v>
      </c>
    </row>
    <row r="29" spans="1:8">
      <c r="A29" s="26" t="s">
        <v>366</v>
      </c>
      <c r="B29" s="28">
        <v>1000</v>
      </c>
      <c r="C29" s="26" t="s">
        <v>328</v>
      </c>
      <c r="D29" s="26" t="s">
        <v>367</v>
      </c>
      <c r="E29" s="28">
        <v>0</v>
      </c>
      <c r="F29" s="26" t="s">
        <v>330</v>
      </c>
      <c r="G29" s="28">
        <v>0</v>
      </c>
      <c r="H29" s="26" t="s">
        <v>331</v>
      </c>
    </row>
    <row r="30" spans="1:8">
      <c r="A30" s="26" t="s">
        <v>368</v>
      </c>
      <c r="B30" s="28">
        <v>1131</v>
      </c>
      <c r="C30" s="26" t="s">
        <v>328</v>
      </c>
      <c r="D30" s="26" t="s">
        <v>333</v>
      </c>
      <c r="E30" s="28">
        <v>-855</v>
      </c>
      <c r="F30" s="26" t="s">
        <v>330</v>
      </c>
      <c r="G30" s="28">
        <v>0</v>
      </c>
      <c r="H30" s="26" t="s">
        <v>331</v>
      </c>
    </row>
    <row r="31" spans="1:8">
      <c r="A31" s="26" t="s">
        <v>369</v>
      </c>
      <c r="B31" s="27">
        <v>2262</v>
      </c>
      <c r="C31" s="26" t="s">
        <v>328</v>
      </c>
      <c r="D31" s="26" t="s">
        <v>370</v>
      </c>
      <c r="E31" s="28">
        <v>-1710</v>
      </c>
      <c r="F31" s="26" t="s">
        <v>330</v>
      </c>
      <c r="G31" s="28">
        <v>0</v>
      </c>
      <c r="H31" s="26" t="s">
        <v>331</v>
      </c>
    </row>
    <row r="32" spans="1:8">
      <c r="A32" s="26" t="s">
        <v>371</v>
      </c>
      <c r="B32" s="28">
        <v>1131</v>
      </c>
      <c r="C32" s="26" t="s">
        <v>328</v>
      </c>
      <c r="D32" s="26" t="s">
        <v>333</v>
      </c>
      <c r="E32" s="28">
        <v>-855</v>
      </c>
      <c r="F32" s="26" t="s">
        <v>330</v>
      </c>
      <c r="G32" s="28">
        <v>0</v>
      </c>
      <c r="H32" s="26" t="s">
        <v>331</v>
      </c>
    </row>
    <row r="33" spans="1:8">
      <c r="A33" s="26" t="s">
        <v>372</v>
      </c>
      <c r="B33" s="28">
        <v>1131</v>
      </c>
      <c r="C33" s="26" t="s">
        <v>328</v>
      </c>
      <c r="D33" s="26" t="s">
        <v>333</v>
      </c>
      <c r="E33" s="28">
        <v>-855</v>
      </c>
      <c r="F33" s="26" t="s">
        <v>330</v>
      </c>
      <c r="G33" s="28">
        <v>0</v>
      </c>
      <c r="H33" s="26" t="s">
        <v>331</v>
      </c>
    </row>
    <row r="34" spans="1:8">
      <c r="A34" s="26" t="s">
        <v>373</v>
      </c>
      <c r="B34" s="28">
        <v>1465</v>
      </c>
      <c r="C34" s="26" t="s">
        <v>328</v>
      </c>
      <c r="D34" s="26" t="s">
        <v>345</v>
      </c>
      <c r="E34" s="28">
        <v>-1109</v>
      </c>
      <c r="F34" s="26" t="s">
        <v>330</v>
      </c>
      <c r="G34" s="28">
        <v>0</v>
      </c>
      <c r="H34" s="26" t="s">
        <v>331</v>
      </c>
    </row>
    <row r="35" spans="1:8">
      <c r="A35" s="26" t="s">
        <v>374</v>
      </c>
      <c r="B35" s="28">
        <v>1264</v>
      </c>
      <c r="C35" s="26" t="s">
        <v>328</v>
      </c>
      <c r="D35" s="26" t="s">
        <v>337</v>
      </c>
      <c r="E35" s="28">
        <v>-957</v>
      </c>
      <c r="F35" s="26" t="s">
        <v>330</v>
      </c>
      <c r="G35" s="28">
        <v>0</v>
      </c>
      <c r="H35" s="26" t="s">
        <v>331</v>
      </c>
    </row>
    <row r="36" spans="1:8">
      <c r="A36" s="26" t="s">
        <v>375</v>
      </c>
      <c r="B36" s="28">
        <v>1131</v>
      </c>
      <c r="C36" s="26" t="s">
        <v>328</v>
      </c>
      <c r="D36" s="26" t="s">
        <v>333</v>
      </c>
      <c r="E36" s="28">
        <v>-855</v>
      </c>
      <c r="F36" s="26" t="s">
        <v>330</v>
      </c>
      <c r="G36" s="28">
        <v>0</v>
      </c>
      <c r="H36" s="26" t="s">
        <v>331</v>
      </c>
    </row>
    <row r="37" spans="1:8">
      <c r="A37" s="26" t="s">
        <v>376</v>
      </c>
      <c r="B37" s="28">
        <v>1131</v>
      </c>
      <c r="C37" s="26" t="s">
        <v>328</v>
      </c>
      <c r="D37" s="26" t="s">
        <v>333</v>
      </c>
      <c r="E37" s="28">
        <v>-855</v>
      </c>
      <c r="F37" s="26" t="s">
        <v>330</v>
      </c>
      <c r="G37" s="28">
        <v>0</v>
      </c>
      <c r="H37" s="26" t="s">
        <v>331</v>
      </c>
    </row>
    <row r="38" spans="1:8">
      <c r="A38" s="26" t="s">
        <v>377</v>
      </c>
      <c r="B38" s="28">
        <v>1092</v>
      </c>
      <c r="C38" s="26" t="s">
        <v>328</v>
      </c>
      <c r="D38" s="26" t="s">
        <v>353</v>
      </c>
      <c r="E38" s="28">
        <v>-826</v>
      </c>
      <c r="F38" s="26" t="s">
        <v>330</v>
      </c>
      <c r="G38" s="28">
        <v>0</v>
      </c>
      <c r="H38" s="26" t="s">
        <v>331</v>
      </c>
    </row>
    <row r="39" spans="1:8">
      <c r="A39" s="26" t="s">
        <v>378</v>
      </c>
      <c r="B39" s="28">
        <v>1092</v>
      </c>
      <c r="C39" s="26" t="s">
        <v>328</v>
      </c>
      <c r="D39" s="26" t="s">
        <v>353</v>
      </c>
      <c r="E39" s="28">
        <v>-826</v>
      </c>
      <c r="F39" s="26" t="s">
        <v>330</v>
      </c>
      <c r="G39" s="28">
        <v>0</v>
      </c>
      <c r="H39" s="26" t="s">
        <v>331</v>
      </c>
    </row>
    <row r="40" spans="1:8">
      <c r="A40" s="26" t="s">
        <v>379</v>
      </c>
      <c r="B40" s="28">
        <v>2407</v>
      </c>
      <c r="C40" s="26" t="s">
        <v>328</v>
      </c>
      <c r="D40" s="26" t="s">
        <v>380</v>
      </c>
      <c r="E40" s="28">
        <v>-1656</v>
      </c>
      <c r="F40" s="26" t="s">
        <v>330</v>
      </c>
      <c r="G40" s="28">
        <v>0</v>
      </c>
      <c r="H40" s="26" t="s">
        <v>331</v>
      </c>
    </row>
    <row r="41" spans="1:8">
      <c r="A41" s="26" t="s">
        <v>381</v>
      </c>
      <c r="B41" s="28">
        <v>2927</v>
      </c>
      <c r="C41" s="26" t="s">
        <v>328</v>
      </c>
      <c r="D41" s="26" t="s">
        <v>382</v>
      </c>
      <c r="E41" s="28">
        <v>-1449</v>
      </c>
      <c r="F41" s="26" t="s">
        <v>330</v>
      </c>
      <c r="G41" s="28">
        <v>0</v>
      </c>
      <c r="H41" s="26" t="s">
        <v>331</v>
      </c>
    </row>
    <row r="42" spans="1:8">
      <c r="A42" s="26" t="s">
        <v>383</v>
      </c>
      <c r="B42" s="28">
        <v>1092</v>
      </c>
      <c r="C42" s="26" t="s">
        <v>328</v>
      </c>
      <c r="D42" s="26" t="s">
        <v>353</v>
      </c>
      <c r="E42" s="28">
        <v>-826</v>
      </c>
      <c r="F42" s="26" t="s">
        <v>330</v>
      </c>
      <c r="G42" s="28">
        <v>0</v>
      </c>
      <c r="H42" s="26" t="s">
        <v>331</v>
      </c>
    </row>
    <row r="43" spans="1:8">
      <c r="A43" s="26" t="s">
        <v>384</v>
      </c>
      <c r="B43" s="28">
        <v>1092</v>
      </c>
      <c r="C43" s="26" t="s">
        <v>328</v>
      </c>
      <c r="D43" s="26" t="s">
        <v>353</v>
      </c>
      <c r="E43" s="28">
        <v>-826</v>
      </c>
      <c r="F43" s="26" t="s">
        <v>330</v>
      </c>
      <c r="G43" s="28">
        <v>0</v>
      </c>
      <c r="H43" s="26" t="s">
        <v>331</v>
      </c>
    </row>
    <row r="44" spans="1:8">
      <c r="A44" s="26" t="s">
        <v>385</v>
      </c>
      <c r="B44" s="28">
        <v>1131</v>
      </c>
      <c r="C44" s="26" t="s">
        <v>328</v>
      </c>
      <c r="D44" s="26" t="s">
        <v>333</v>
      </c>
      <c r="E44" s="28">
        <v>-855</v>
      </c>
      <c r="F44" s="26" t="s">
        <v>330</v>
      </c>
      <c r="G44" s="28">
        <v>0</v>
      </c>
      <c r="H44" s="26" t="s">
        <v>331</v>
      </c>
    </row>
    <row r="45" spans="1:8">
      <c r="A45" s="26" t="s">
        <v>386</v>
      </c>
      <c r="B45" s="28">
        <v>2514</v>
      </c>
      <c r="C45" s="26" t="s">
        <v>328</v>
      </c>
      <c r="D45" s="26" t="s">
        <v>380</v>
      </c>
      <c r="E45" s="28">
        <v>-1549</v>
      </c>
      <c r="F45" s="26" t="s">
        <v>330</v>
      </c>
      <c r="G45" s="28">
        <v>0</v>
      </c>
      <c r="H45" s="26" t="s">
        <v>331</v>
      </c>
    </row>
    <row r="46" spans="1:8">
      <c r="A46" s="26" t="s">
        <v>387</v>
      </c>
      <c r="B46" s="28">
        <v>1092</v>
      </c>
      <c r="C46" s="26" t="s">
        <v>328</v>
      </c>
      <c r="D46" s="26" t="s">
        <v>353</v>
      </c>
      <c r="E46" s="28">
        <v>-826</v>
      </c>
      <c r="F46" s="26" t="s">
        <v>330</v>
      </c>
      <c r="G46" s="28">
        <v>0</v>
      </c>
      <c r="H46" s="26" t="s">
        <v>331</v>
      </c>
    </row>
    <row r="47" spans="1:8">
      <c r="A47" s="26" t="s">
        <v>388</v>
      </c>
      <c r="B47" s="28">
        <v>2407</v>
      </c>
      <c r="C47" s="26" t="s">
        <v>328</v>
      </c>
      <c r="D47" s="26" t="s">
        <v>380</v>
      </c>
      <c r="E47" s="28">
        <v>-1656</v>
      </c>
      <c r="F47" s="26" t="s">
        <v>330</v>
      </c>
      <c r="G47" s="28">
        <v>0</v>
      </c>
      <c r="H47" s="26" t="s">
        <v>331</v>
      </c>
    </row>
    <row r="48" spans="1:8">
      <c r="A48" s="26" t="s">
        <v>389</v>
      </c>
      <c r="B48" s="28">
        <v>2890</v>
      </c>
      <c r="C48" s="26" t="s">
        <v>328</v>
      </c>
      <c r="D48" s="26" t="s">
        <v>390</v>
      </c>
      <c r="E48" s="28">
        <v>-1787</v>
      </c>
      <c r="F48" s="26" t="s">
        <v>330</v>
      </c>
      <c r="G48" s="28">
        <v>0</v>
      </c>
      <c r="H48" s="26" t="s">
        <v>331</v>
      </c>
    </row>
    <row r="49" spans="1:8">
      <c r="A49" s="26" t="s">
        <v>391</v>
      </c>
      <c r="B49" s="28">
        <v>2407</v>
      </c>
      <c r="C49" s="26" t="s">
        <v>328</v>
      </c>
      <c r="D49" s="26" t="s">
        <v>380</v>
      </c>
      <c r="E49" s="28">
        <v>-1656</v>
      </c>
      <c r="F49" s="26" t="s">
        <v>330</v>
      </c>
      <c r="G49" s="28">
        <v>0</v>
      </c>
      <c r="H49" s="26" t="s">
        <v>331</v>
      </c>
    </row>
    <row r="50" spans="1:8">
      <c r="A50" s="26" t="s">
        <v>392</v>
      </c>
      <c r="B50" s="28">
        <v>999</v>
      </c>
      <c r="C50" s="26" t="s">
        <v>328</v>
      </c>
      <c r="D50" s="26" t="s">
        <v>393</v>
      </c>
      <c r="E50" s="28">
        <v>-177</v>
      </c>
      <c r="F50" s="26" t="s">
        <v>330</v>
      </c>
      <c r="G50" s="28">
        <v>0</v>
      </c>
      <c r="H50" s="26" t="s">
        <v>331</v>
      </c>
    </row>
    <row r="51" spans="1:8">
      <c r="A51" s="26" t="s">
        <v>394</v>
      </c>
      <c r="B51" s="28">
        <v>1264</v>
      </c>
      <c r="C51" s="26" t="s">
        <v>328</v>
      </c>
      <c r="D51" s="26" t="s">
        <v>337</v>
      </c>
      <c r="E51" s="28">
        <v>-957</v>
      </c>
      <c r="F51" s="26" t="s">
        <v>330</v>
      </c>
      <c r="G51" s="28">
        <v>0</v>
      </c>
      <c r="H51" s="26" t="s">
        <v>331</v>
      </c>
    </row>
    <row r="52" spans="1:8">
      <c r="A52" s="26" t="s">
        <v>395</v>
      </c>
      <c r="B52" s="28">
        <v>1131</v>
      </c>
      <c r="C52" s="26" t="s">
        <v>328</v>
      </c>
      <c r="D52" s="26" t="s">
        <v>333</v>
      </c>
      <c r="E52" s="28">
        <v>-855</v>
      </c>
      <c r="F52" s="26" t="s">
        <v>330</v>
      </c>
      <c r="G52" s="28">
        <v>0</v>
      </c>
      <c r="H52" s="26" t="s">
        <v>331</v>
      </c>
    </row>
    <row r="53" spans="1:8">
      <c r="A53" s="26" t="s">
        <v>396</v>
      </c>
      <c r="B53" s="28">
        <v>1465</v>
      </c>
      <c r="C53" s="26" t="s">
        <v>328</v>
      </c>
      <c r="D53" s="26" t="s">
        <v>345</v>
      </c>
      <c r="E53" s="28">
        <v>-1109</v>
      </c>
      <c r="F53" s="26" t="s">
        <v>330</v>
      </c>
      <c r="G53" s="28">
        <v>0</v>
      </c>
      <c r="H53" s="26" t="s">
        <v>331</v>
      </c>
    </row>
    <row r="54" spans="1:8">
      <c r="A54" s="26" t="s">
        <v>397</v>
      </c>
      <c r="B54" s="28">
        <v>2776</v>
      </c>
      <c r="C54" s="26" t="s">
        <v>328</v>
      </c>
      <c r="D54" s="26" t="s">
        <v>398</v>
      </c>
      <c r="E54" s="28">
        <v>-2372</v>
      </c>
      <c r="F54" s="26" t="s">
        <v>330</v>
      </c>
      <c r="G54" s="28">
        <v>0</v>
      </c>
      <c r="H54" s="26" t="s">
        <v>331</v>
      </c>
    </row>
    <row r="55" spans="1:8">
      <c r="A55" s="26" t="s">
        <v>399</v>
      </c>
      <c r="B55" s="28">
        <v>1131</v>
      </c>
      <c r="C55" s="26" t="s">
        <v>328</v>
      </c>
      <c r="D55" s="26" t="s">
        <v>333</v>
      </c>
      <c r="E55" s="28">
        <v>-855</v>
      </c>
      <c r="F55" s="26" t="s">
        <v>330</v>
      </c>
      <c r="G55" s="28">
        <v>0</v>
      </c>
      <c r="H55" s="26" t="s">
        <v>331</v>
      </c>
    </row>
    <row r="56" spans="1:8">
      <c r="A56" s="26" t="s">
        <v>400</v>
      </c>
      <c r="B56" s="28">
        <v>2142</v>
      </c>
      <c r="C56" s="26" t="s">
        <v>328</v>
      </c>
      <c r="D56" s="26" t="s">
        <v>370</v>
      </c>
      <c r="E56" s="28">
        <v>-1830</v>
      </c>
      <c r="F56" s="26" t="s">
        <v>330</v>
      </c>
      <c r="G56" s="28">
        <v>0</v>
      </c>
      <c r="H56" s="26" t="s">
        <v>331</v>
      </c>
    </row>
    <row r="57" spans="1:8">
      <c r="A57" s="26" t="s">
        <v>401</v>
      </c>
      <c r="B57" s="28">
        <v>2142</v>
      </c>
      <c r="C57" s="26" t="s">
        <v>328</v>
      </c>
      <c r="D57" s="26" t="s">
        <v>370</v>
      </c>
      <c r="E57" s="28">
        <v>-1830</v>
      </c>
      <c r="F57" s="26" t="s">
        <v>330</v>
      </c>
      <c r="G57" s="28">
        <v>0</v>
      </c>
      <c r="H57" s="26" t="s">
        <v>331</v>
      </c>
    </row>
    <row r="58" spans="1:8">
      <c r="A58" s="26" t="s">
        <v>402</v>
      </c>
      <c r="B58" s="28">
        <v>1264</v>
      </c>
      <c r="C58" s="26" t="s">
        <v>328</v>
      </c>
      <c r="D58" s="26" t="s">
        <v>337</v>
      </c>
      <c r="E58" s="28">
        <v>-957</v>
      </c>
      <c r="F58" s="26" t="s">
        <v>330</v>
      </c>
      <c r="G58" s="28">
        <v>0</v>
      </c>
      <c r="H58" s="26" t="s">
        <v>331</v>
      </c>
    </row>
    <row r="59" spans="1:8">
      <c r="A59" s="26" t="s">
        <v>403</v>
      </c>
      <c r="B59" s="28">
        <v>2350</v>
      </c>
      <c r="C59" s="26" t="s">
        <v>328</v>
      </c>
      <c r="D59" s="26" t="s">
        <v>404</v>
      </c>
      <c r="E59" s="28">
        <v>-1776</v>
      </c>
      <c r="F59" s="26" t="s">
        <v>330</v>
      </c>
      <c r="G59" s="28">
        <v>0</v>
      </c>
      <c r="H59" s="26" t="s">
        <v>331</v>
      </c>
    </row>
    <row r="60" spans="1:8">
      <c r="A60" s="26" t="s">
        <v>405</v>
      </c>
      <c r="B60" s="28">
        <v>1131</v>
      </c>
      <c r="C60" s="26" t="s">
        <v>328</v>
      </c>
      <c r="D60" s="26" t="s">
        <v>333</v>
      </c>
      <c r="E60" s="28">
        <v>-855</v>
      </c>
      <c r="F60" s="26" t="s">
        <v>330</v>
      </c>
      <c r="G60" s="28">
        <v>0</v>
      </c>
      <c r="H60" s="26" t="s">
        <v>331</v>
      </c>
    </row>
    <row r="61" spans="1:8">
      <c r="A61" s="26" t="s">
        <v>406</v>
      </c>
      <c r="B61" s="28">
        <v>999</v>
      </c>
      <c r="C61" s="26" t="s">
        <v>328</v>
      </c>
      <c r="D61" s="26" t="s">
        <v>393</v>
      </c>
      <c r="E61" s="28">
        <v>-177</v>
      </c>
      <c r="F61" s="26" t="s">
        <v>330</v>
      </c>
      <c r="G61" s="28">
        <v>0</v>
      </c>
      <c r="H61" s="26" t="s">
        <v>331</v>
      </c>
    </row>
    <row r="62" spans="1:8">
      <c r="A62" s="26" t="s">
        <v>407</v>
      </c>
      <c r="B62" s="28">
        <v>1465</v>
      </c>
      <c r="C62" s="26" t="s">
        <v>328</v>
      </c>
      <c r="D62" s="26" t="s">
        <v>345</v>
      </c>
      <c r="E62" s="28">
        <v>-1109</v>
      </c>
      <c r="F62" s="26" t="s">
        <v>330</v>
      </c>
      <c r="G62" s="28">
        <v>0</v>
      </c>
      <c r="H62" s="26" t="s">
        <v>331</v>
      </c>
    </row>
    <row r="63" spans="1:8">
      <c r="A63" s="26" t="s">
        <v>408</v>
      </c>
      <c r="B63" s="28">
        <v>1465</v>
      </c>
      <c r="C63" s="26" t="s">
        <v>328</v>
      </c>
      <c r="D63" s="26" t="s">
        <v>345</v>
      </c>
      <c r="E63" s="28">
        <v>-1109</v>
      </c>
      <c r="F63" s="26" t="s">
        <v>330</v>
      </c>
      <c r="G63" s="28">
        <v>0</v>
      </c>
      <c r="H63" s="26" t="s">
        <v>331</v>
      </c>
    </row>
    <row r="64" spans="1:8">
      <c r="A64" s="26" t="s">
        <v>409</v>
      </c>
      <c r="B64" s="28">
        <v>2142</v>
      </c>
      <c r="C64" s="26" t="s">
        <v>328</v>
      </c>
      <c r="D64" s="26" t="s">
        <v>370</v>
      </c>
      <c r="E64" s="28">
        <v>-1830</v>
      </c>
      <c r="F64" s="26" t="s">
        <v>330</v>
      </c>
      <c r="G64" s="28">
        <v>0</v>
      </c>
      <c r="H64" s="26" t="s">
        <v>331</v>
      </c>
    </row>
    <row r="65" spans="1:8">
      <c r="A65" s="26" t="s">
        <v>410</v>
      </c>
      <c r="B65" s="28">
        <v>1131</v>
      </c>
      <c r="C65" s="26" t="s">
        <v>328</v>
      </c>
      <c r="D65" s="26" t="s">
        <v>333</v>
      </c>
      <c r="E65" s="28">
        <v>-855</v>
      </c>
      <c r="F65" s="26" t="s">
        <v>330</v>
      </c>
      <c r="G65" s="28">
        <v>0</v>
      </c>
      <c r="H65" s="26" t="s">
        <v>331</v>
      </c>
    </row>
    <row r="66" spans="1:8">
      <c r="A66" s="26" t="s">
        <v>411</v>
      </c>
      <c r="B66" s="28">
        <v>1131</v>
      </c>
      <c r="C66" s="26" t="s">
        <v>328</v>
      </c>
      <c r="D66" s="26" t="s">
        <v>333</v>
      </c>
      <c r="E66" s="28">
        <v>-855</v>
      </c>
      <c r="F66" s="26" t="s">
        <v>330</v>
      </c>
      <c r="G66" s="28">
        <v>0</v>
      </c>
      <c r="H66" s="26" t="s">
        <v>331</v>
      </c>
    </row>
    <row r="67" spans="1:8">
      <c r="A67" s="26" t="s">
        <v>412</v>
      </c>
      <c r="B67" s="28">
        <v>1131</v>
      </c>
      <c r="C67" s="26" t="s">
        <v>328</v>
      </c>
      <c r="D67" s="26" t="s">
        <v>333</v>
      </c>
      <c r="E67" s="28">
        <v>-855</v>
      </c>
      <c r="F67" s="26" t="s">
        <v>330</v>
      </c>
      <c r="G67" s="28">
        <v>0</v>
      </c>
      <c r="H67" s="26" t="s">
        <v>331</v>
      </c>
    </row>
    <row r="68" spans="1:8">
      <c r="A68" s="26" t="s">
        <v>413</v>
      </c>
      <c r="B68" s="28">
        <v>4164</v>
      </c>
      <c r="C68" s="26" t="s">
        <v>328</v>
      </c>
      <c r="D68" s="26" t="s">
        <v>414</v>
      </c>
      <c r="E68" s="28">
        <v>-3558</v>
      </c>
      <c r="F68" s="26" t="s">
        <v>330</v>
      </c>
      <c r="G68" s="28">
        <v>0</v>
      </c>
      <c r="H68" s="26" t="s">
        <v>331</v>
      </c>
    </row>
    <row r="69" spans="1:8">
      <c r="A69" s="26" t="s">
        <v>415</v>
      </c>
      <c r="B69" s="28">
        <v>1131</v>
      </c>
      <c r="C69" s="26" t="s">
        <v>328</v>
      </c>
      <c r="D69" s="26" t="s">
        <v>333</v>
      </c>
      <c r="E69" s="28">
        <v>-855</v>
      </c>
      <c r="F69" s="26" t="s">
        <v>330</v>
      </c>
      <c r="G69" s="28">
        <v>0</v>
      </c>
      <c r="H69" s="26" t="s">
        <v>331</v>
      </c>
    </row>
    <row r="70" spans="1:8">
      <c r="A70" s="26" t="s">
        <v>416</v>
      </c>
      <c r="B70" s="28">
        <v>999</v>
      </c>
      <c r="C70" s="26" t="s">
        <v>328</v>
      </c>
      <c r="D70" s="26" t="s">
        <v>393</v>
      </c>
      <c r="E70" s="28">
        <v>-177</v>
      </c>
      <c r="F70" s="26" t="s">
        <v>330</v>
      </c>
      <c r="G70" s="28">
        <v>0</v>
      </c>
      <c r="H70" s="26" t="s">
        <v>331</v>
      </c>
    </row>
    <row r="71" spans="1:8">
      <c r="A71" s="26" t="s">
        <v>417</v>
      </c>
      <c r="B71" s="27">
        <v>4656</v>
      </c>
      <c r="C71" s="26" t="s">
        <v>328</v>
      </c>
      <c r="D71" s="26" t="s">
        <v>418</v>
      </c>
      <c r="E71" s="28">
        <v>-2096</v>
      </c>
      <c r="F71" s="26" t="s">
        <v>330</v>
      </c>
      <c r="G71" s="28">
        <v>0</v>
      </c>
      <c r="H71" s="26" t="s">
        <v>331</v>
      </c>
    </row>
    <row r="72" spans="1:8">
      <c r="A72" s="26" t="s">
        <v>419</v>
      </c>
      <c r="B72" s="28">
        <v>3213</v>
      </c>
      <c r="C72" s="26" t="s">
        <v>328</v>
      </c>
      <c r="D72" s="26" t="s">
        <v>335</v>
      </c>
      <c r="E72" s="28">
        <v>-2745</v>
      </c>
      <c r="F72" s="26" t="s">
        <v>330</v>
      </c>
      <c r="G72" s="28">
        <v>0</v>
      </c>
      <c r="H72" s="26" t="s">
        <v>331</v>
      </c>
    </row>
    <row r="73" spans="1:8">
      <c r="A73" s="26" t="s">
        <v>420</v>
      </c>
      <c r="B73" s="28">
        <v>2142</v>
      </c>
      <c r="C73" s="26" t="s">
        <v>328</v>
      </c>
      <c r="D73" s="26" t="s">
        <v>370</v>
      </c>
      <c r="E73" s="28">
        <v>-1830</v>
      </c>
      <c r="F73" s="26" t="s">
        <v>330</v>
      </c>
      <c r="G73" s="28">
        <v>0</v>
      </c>
      <c r="H73" s="26" t="s">
        <v>331</v>
      </c>
    </row>
    <row r="74" spans="1:8">
      <c r="A74" s="26" t="s">
        <v>421</v>
      </c>
      <c r="B74" s="28">
        <v>3213</v>
      </c>
      <c r="C74" s="26" t="s">
        <v>328</v>
      </c>
      <c r="D74" s="26" t="s">
        <v>335</v>
      </c>
      <c r="E74" s="28">
        <v>-2745</v>
      </c>
      <c r="F74" s="26" t="s">
        <v>330</v>
      </c>
      <c r="G74" s="28">
        <v>0</v>
      </c>
      <c r="H74" s="26" t="s">
        <v>331</v>
      </c>
    </row>
    <row r="75" spans="1:8">
      <c r="A75" s="26" t="s">
        <v>422</v>
      </c>
      <c r="B75" s="28">
        <v>1131</v>
      </c>
      <c r="C75" s="26" t="s">
        <v>328</v>
      </c>
      <c r="D75" s="26" t="s">
        <v>333</v>
      </c>
      <c r="E75" s="28">
        <v>-855</v>
      </c>
      <c r="F75" s="26" t="s">
        <v>330</v>
      </c>
      <c r="G75" s="28">
        <v>0</v>
      </c>
      <c r="H75" s="26" t="s">
        <v>331</v>
      </c>
    </row>
    <row r="76" spans="1:8">
      <c r="A76" s="26" t="s">
        <v>423</v>
      </c>
      <c r="B76" s="28">
        <v>2142</v>
      </c>
      <c r="C76" s="26" t="s">
        <v>328</v>
      </c>
      <c r="D76" s="26" t="s">
        <v>370</v>
      </c>
      <c r="E76" s="28">
        <v>-1830</v>
      </c>
      <c r="F76" s="26" t="s">
        <v>330</v>
      </c>
      <c r="G76" s="28">
        <v>0</v>
      </c>
      <c r="H76" s="26" t="s">
        <v>331</v>
      </c>
    </row>
    <row r="77" spans="1:8">
      <c r="A77" s="26" t="s">
        <v>424</v>
      </c>
      <c r="B77" s="28">
        <v>1936</v>
      </c>
      <c r="C77" s="26" t="s">
        <v>328</v>
      </c>
      <c r="D77" s="26" t="s">
        <v>425</v>
      </c>
      <c r="E77" s="28">
        <v>-1462</v>
      </c>
      <c r="F77" s="26" t="s">
        <v>330</v>
      </c>
      <c r="G77" s="28">
        <v>0</v>
      </c>
      <c r="H77" s="26" t="s">
        <v>331</v>
      </c>
    </row>
    <row r="78" spans="1:8">
      <c r="A78" s="26" t="s">
        <v>426</v>
      </c>
      <c r="B78" s="28">
        <v>999</v>
      </c>
      <c r="C78" s="26" t="s">
        <v>328</v>
      </c>
      <c r="D78" s="26" t="s">
        <v>393</v>
      </c>
      <c r="E78" s="28">
        <v>-177</v>
      </c>
      <c r="F78" s="26" t="s">
        <v>330</v>
      </c>
      <c r="G78" s="28">
        <v>0</v>
      </c>
      <c r="H78" s="26" t="s">
        <v>331</v>
      </c>
    </row>
    <row r="79" spans="1:8">
      <c r="A79" s="26" t="s">
        <v>427</v>
      </c>
      <c r="B79" s="28">
        <v>1419</v>
      </c>
      <c r="C79" s="26" t="s">
        <v>328</v>
      </c>
      <c r="D79" s="26" t="s">
        <v>428</v>
      </c>
      <c r="E79" s="28">
        <v>-609</v>
      </c>
      <c r="F79" s="26" t="s">
        <v>330</v>
      </c>
      <c r="G79" s="28">
        <v>0</v>
      </c>
      <c r="H79" s="26" t="s">
        <v>331</v>
      </c>
    </row>
    <row r="80" spans="1:8">
      <c r="A80" s="26" t="s">
        <v>429</v>
      </c>
      <c r="B80" s="28">
        <v>1000</v>
      </c>
      <c r="C80" s="26" t="s">
        <v>328</v>
      </c>
      <c r="D80" s="26" t="s">
        <v>367</v>
      </c>
      <c r="E80" s="28">
        <v>0</v>
      </c>
      <c r="F80" s="26" t="s">
        <v>330</v>
      </c>
      <c r="G80" s="28">
        <v>0</v>
      </c>
      <c r="H80" s="26" t="s">
        <v>331</v>
      </c>
    </row>
    <row r="81" spans="1:8">
      <c r="A81" s="26" t="s">
        <v>430</v>
      </c>
      <c r="B81" s="28">
        <v>1264</v>
      </c>
      <c r="C81" s="26" t="s">
        <v>328</v>
      </c>
      <c r="D81" s="26" t="s">
        <v>337</v>
      </c>
      <c r="E81" s="28">
        <v>-957</v>
      </c>
      <c r="F81" s="26" t="s">
        <v>330</v>
      </c>
      <c r="G81" s="28">
        <v>0</v>
      </c>
      <c r="H81" s="26" t="s">
        <v>331</v>
      </c>
    </row>
    <row r="82" spans="1:8">
      <c r="A82" s="26" t="s">
        <v>431</v>
      </c>
      <c r="B82" s="28">
        <v>2394</v>
      </c>
      <c r="C82" s="26" t="s">
        <v>328</v>
      </c>
      <c r="D82" s="26" t="s">
        <v>340</v>
      </c>
      <c r="E82" s="28">
        <v>-2048</v>
      </c>
      <c r="F82" s="26" t="s">
        <v>330</v>
      </c>
      <c r="G82" s="28">
        <v>0</v>
      </c>
      <c r="H82" s="26" t="s">
        <v>331</v>
      </c>
    </row>
    <row r="83" spans="1:8">
      <c r="A83" s="26" t="s">
        <v>432</v>
      </c>
      <c r="B83" s="28">
        <v>2378</v>
      </c>
      <c r="C83" s="26" t="s">
        <v>328</v>
      </c>
      <c r="D83" s="26" t="s">
        <v>433</v>
      </c>
      <c r="E83" s="28">
        <v>-1798</v>
      </c>
      <c r="F83" s="26" t="s">
        <v>330</v>
      </c>
      <c r="G83" s="28">
        <v>0</v>
      </c>
      <c r="H83" s="26" t="s">
        <v>331</v>
      </c>
    </row>
    <row r="84" spans="1:8">
      <c r="A84" s="26" t="s">
        <v>434</v>
      </c>
      <c r="B84" s="28">
        <v>1000</v>
      </c>
      <c r="C84" s="26" t="s">
        <v>328</v>
      </c>
      <c r="D84" s="26" t="s">
        <v>367</v>
      </c>
      <c r="E84" s="28">
        <v>0</v>
      </c>
      <c r="F84" s="26" t="s">
        <v>330</v>
      </c>
      <c r="G84" s="28">
        <v>0</v>
      </c>
      <c r="H84" s="26" t="s">
        <v>331</v>
      </c>
    </row>
    <row r="85" spans="1:8">
      <c r="A85" s="26" t="s">
        <v>435</v>
      </c>
      <c r="B85" s="28">
        <v>2142</v>
      </c>
      <c r="C85" s="26" t="s">
        <v>328</v>
      </c>
      <c r="D85" s="26" t="s">
        <v>370</v>
      </c>
      <c r="E85" s="28">
        <v>-1830</v>
      </c>
      <c r="F85" s="26" t="s">
        <v>330</v>
      </c>
      <c r="G85" s="28">
        <v>0</v>
      </c>
      <c r="H85" s="26" t="s">
        <v>331</v>
      </c>
    </row>
    <row r="86" spans="1:8">
      <c r="A86" s="26" t="s">
        <v>436</v>
      </c>
      <c r="B86" s="28">
        <v>1189</v>
      </c>
      <c r="C86" s="26" t="s">
        <v>328</v>
      </c>
      <c r="D86" s="26" t="s">
        <v>437</v>
      </c>
      <c r="E86" s="28">
        <v>0</v>
      </c>
      <c r="F86" s="26" t="s">
        <v>330</v>
      </c>
      <c r="G86" s="28">
        <v>0</v>
      </c>
      <c r="H86" s="26" t="s">
        <v>331</v>
      </c>
    </row>
    <row r="87" spans="1:8">
      <c r="A87" s="26" t="s">
        <v>438</v>
      </c>
      <c r="B87" s="28">
        <v>1131</v>
      </c>
      <c r="C87" s="26" t="s">
        <v>328</v>
      </c>
      <c r="D87" s="26" t="s">
        <v>333</v>
      </c>
      <c r="E87" s="28">
        <v>-855</v>
      </c>
      <c r="F87" s="26" t="s">
        <v>330</v>
      </c>
      <c r="G87" s="28">
        <v>0</v>
      </c>
      <c r="H87" s="26" t="s">
        <v>331</v>
      </c>
    </row>
    <row r="88" spans="1:8">
      <c r="A88" s="26" t="s">
        <v>439</v>
      </c>
      <c r="B88" s="28">
        <v>1131</v>
      </c>
      <c r="C88" s="26" t="s">
        <v>328</v>
      </c>
      <c r="D88" s="26" t="s">
        <v>333</v>
      </c>
      <c r="E88" s="28">
        <v>-855</v>
      </c>
      <c r="F88" s="26" t="s">
        <v>330</v>
      </c>
      <c r="G88" s="28">
        <v>0</v>
      </c>
      <c r="H88" s="26" t="s">
        <v>331</v>
      </c>
    </row>
    <row r="89" spans="1:8">
      <c r="A89" s="26" t="s">
        <v>440</v>
      </c>
      <c r="B89" s="28">
        <v>2142</v>
      </c>
      <c r="C89" s="26" t="s">
        <v>328</v>
      </c>
      <c r="D89" s="26" t="s">
        <v>370</v>
      </c>
      <c r="E89" s="28">
        <v>-1830</v>
      </c>
      <c r="F89" s="26" t="s">
        <v>330</v>
      </c>
      <c r="G89" s="28">
        <v>0</v>
      </c>
      <c r="H89" s="26" t="s">
        <v>331</v>
      </c>
    </row>
    <row r="90" spans="1:8">
      <c r="A90" s="26" t="s">
        <v>441</v>
      </c>
      <c r="B90" s="28">
        <v>2098</v>
      </c>
      <c r="C90" s="26" t="s">
        <v>328</v>
      </c>
      <c r="D90" s="26" t="s">
        <v>442</v>
      </c>
      <c r="E90" s="28">
        <v>0</v>
      </c>
      <c r="F90" s="26" t="s">
        <v>330</v>
      </c>
      <c r="G90" s="28">
        <v>0</v>
      </c>
      <c r="H90" s="26" t="s">
        <v>331</v>
      </c>
    </row>
    <row r="91" spans="1:8">
      <c r="A91" s="26" t="s">
        <v>443</v>
      </c>
      <c r="B91" s="28">
        <v>5778</v>
      </c>
      <c r="C91" s="26" t="s">
        <v>328</v>
      </c>
      <c r="D91" s="26" t="s">
        <v>444</v>
      </c>
      <c r="E91" s="28">
        <v>-2598</v>
      </c>
      <c r="F91" s="26" t="s">
        <v>330</v>
      </c>
      <c r="G91" s="28">
        <v>0</v>
      </c>
      <c r="H91" s="26" t="s">
        <v>331</v>
      </c>
    </row>
    <row r="92" spans="1:8">
      <c r="A92" s="26" t="s">
        <v>445</v>
      </c>
      <c r="B92" s="28">
        <v>1998</v>
      </c>
      <c r="C92" s="26" t="s">
        <v>328</v>
      </c>
      <c r="D92" s="26" t="s">
        <v>446</v>
      </c>
      <c r="E92" s="28">
        <v>-354</v>
      </c>
      <c r="F92" s="26" t="s">
        <v>330</v>
      </c>
      <c r="G92" s="28">
        <v>0</v>
      </c>
      <c r="H92" s="26" t="s">
        <v>331</v>
      </c>
    </row>
    <row r="93" spans="1:8">
      <c r="A93" s="26" t="s">
        <v>447</v>
      </c>
      <c r="B93" s="28">
        <v>1131</v>
      </c>
      <c r="C93" s="26" t="s">
        <v>328</v>
      </c>
      <c r="D93" s="26" t="s">
        <v>333</v>
      </c>
      <c r="E93" s="28">
        <v>-855</v>
      </c>
      <c r="F93" s="26" t="s">
        <v>330</v>
      </c>
      <c r="G93" s="28">
        <v>0</v>
      </c>
      <c r="H93" s="26" t="s">
        <v>331</v>
      </c>
    </row>
    <row r="94" spans="1:8">
      <c r="A94" s="26" t="s">
        <v>448</v>
      </c>
      <c r="B94" s="29">
        <v>6426</v>
      </c>
      <c r="C94" s="26" t="s">
        <v>328</v>
      </c>
      <c r="D94" s="26" t="s">
        <v>449</v>
      </c>
      <c r="E94" s="28">
        <v>-5490</v>
      </c>
      <c r="F94" s="26" t="s">
        <v>330</v>
      </c>
      <c r="G94" s="28">
        <v>0</v>
      </c>
      <c r="H94" s="26" t="s">
        <v>331</v>
      </c>
    </row>
    <row r="95" spans="1:8">
      <c r="A95" s="26" t="s">
        <v>448</v>
      </c>
      <c r="B95" s="29">
        <v>-3213</v>
      </c>
      <c r="C95" s="26" t="s">
        <v>328</v>
      </c>
      <c r="D95" s="26" t="s">
        <v>450</v>
      </c>
      <c r="E95" s="28">
        <v>2745</v>
      </c>
      <c r="F95" s="26" t="s">
        <v>330</v>
      </c>
      <c r="G95" s="28">
        <v>0</v>
      </c>
      <c r="H95" s="26" t="s">
        <v>331</v>
      </c>
    </row>
    <row r="96" spans="1:8">
      <c r="A96" s="26" t="s">
        <v>451</v>
      </c>
      <c r="B96" s="28">
        <v>0</v>
      </c>
      <c r="C96" s="26" t="s">
        <v>452</v>
      </c>
      <c r="D96" s="26" t="s">
        <v>330</v>
      </c>
      <c r="E96" s="28">
        <v>0</v>
      </c>
      <c r="F96" s="26" t="s">
        <v>330</v>
      </c>
      <c r="G96" s="28">
        <v>0</v>
      </c>
      <c r="H96" s="26" t="s">
        <v>331</v>
      </c>
    </row>
    <row r="97" spans="1:8">
      <c r="A97" s="26" t="s">
        <v>453</v>
      </c>
      <c r="B97" s="28">
        <v>1131</v>
      </c>
      <c r="C97" s="26" t="s">
        <v>328</v>
      </c>
      <c r="D97" s="26" t="s">
        <v>333</v>
      </c>
      <c r="E97" s="28">
        <v>-855</v>
      </c>
      <c r="F97" s="26" t="s">
        <v>330</v>
      </c>
      <c r="G97" s="28">
        <v>0</v>
      </c>
      <c r="H97" s="26" t="s">
        <v>331</v>
      </c>
    </row>
    <row r="98" spans="1:8">
      <c r="A98" s="26" t="s">
        <v>454</v>
      </c>
      <c r="B98" s="27">
        <v>17955</v>
      </c>
      <c r="C98" s="26" t="s">
        <v>328</v>
      </c>
      <c r="D98" s="26" t="s">
        <v>455</v>
      </c>
      <c r="E98" s="28">
        <v>-15360</v>
      </c>
      <c r="F98" s="26" t="s">
        <v>330</v>
      </c>
      <c r="G98" s="28">
        <v>0</v>
      </c>
      <c r="H98" s="26" t="s">
        <v>331</v>
      </c>
    </row>
    <row r="99" spans="1:8">
      <c r="A99" s="26" t="s">
        <v>456</v>
      </c>
      <c r="B99" s="28">
        <v>3591</v>
      </c>
      <c r="C99" s="26" t="s">
        <v>328</v>
      </c>
      <c r="D99" s="26" t="s">
        <v>457</v>
      </c>
      <c r="E99" s="28">
        <v>-3072</v>
      </c>
      <c r="F99" s="26" t="s">
        <v>330</v>
      </c>
      <c r="G99" s="28">
        <v>0</v>
      </c>
      <c r="H99" s="26" t="s">
        <v>331</v>
      </c>
    </row>
    <row r="100" spans="1:8">
      <c r="A100" s="26" t="s">
        <v>458</v>
      </c>
      <c r="B100" s="27">
        <v>3591</v>
      </c>
      <c r="C100" s="26" t="s">
        <v>328</v>
      </c>
      <c r="D100" s="26" t="s">
        <v>457</v>
      </c>
      <c r="E100" s="28">
        <v>-3072</v>
      </c>
      <c r="F100" s="26" t="s">
        <v>330</v>
      </c>
      <c r="G100" s="28">
        <v>0</v>
      </c>
      <c r="H100" s="26" t="s">
        <v>331</v>
      </c>
    </row>
    <row r="101" spans="1:8">
      <c r="A101" s="26" t="s">
        <v>458</v>
      </c>
      <c r="B101" s="27">
        <v>-1197</v>
      </c>
      <c r="C101" s="26" t="s">
        <v>328</v>
      </c>
      <c r="D101" s="26" t="s">
        <v>459</v>
      </c>
      <c r="E101" s="28">
        <v>1024</v>
      </c>
      <c r="F101" s="26" t="s">
        <v>330</v>
      </c>
      <c r="G101" s="28">
        <v>0</v>
      </c>
      <c r="H101" s="26" t="s">
        <v>331</v>
      </c>
    </row>
    <row r="102" spans="1:8">
      <c r="A102" s="26" t="s">
        <v>460</v>
      </c>
      <c r="B102" s="28">
        <v>3591</v>
      </c>
      <c r="C102" s="26" t="s">
        <v>328</v>
      </c>
      <c r="D102" s="26" t="s">
        <v>457</v>
      </c>
      <c r="E102" s="28">
        <v>-3072</v>
      </c>
      <c r="F102" s="26" t="s">
        <v>330</v>
      </c>
      <c r="G102" s="28">
        <v>0</v>
      </c>
      <c r="H102" s="26" t="s">
        <v>331</v>
      </c>
    </row>
    <row r="103" spans="1:8">
      <c r="A103" s="26" t="s">
        <v>461</v>
      </c>
      <c r="B103" s="27">
        <v>4284</v>
      </c>
      <c r="C103" s="26" t="s">
        <v>328</v>
      </c>
      <c r="D103" s="26" t="s">
        <v>462</v>
      </c>
      <c r="E103" s="28">
        <v>-3660</v>
      </c>
      <c r="F103" s="26" t="s">
        <v>330</v>
      </c>
      <c r="G103" s="28">
        <v>0</v>
      </c>
      <c r="H103" s="26" t="s">
        <v>331</v>
      </c>
    </row>
    <row r="104" spans="1:8">
      <c r="A104" s="26" t="s">
        <v>461</v>
      </c>
      <c r="B104" s="27">
        <v>-2142</v>
      </c>
      <c r="C104" s="26" t="s">
        <v>328</v>
      </c>
      <c r="D104" s="26" t="s">
        <v>463</v>
      </c>
      <c r="E104" s="28">
        <v>1830</v>
      </c>
      <c r="F104" s="26" t="s">
        <v>330</v>
      </c>
      <c r="G104" s="28">
        <v>0</v>
      </c>
      <c r="H104" s="26" t="s">
        <v>331</v>
      </c>
    </row>
    <row r="105" spans="1:8">
      <c r="A105" s="26" t="s">
        <v>464</v>
      </c>
      <c r="B105" s="28">
        <v>1131</v>
      </c>
      <c r="C105" s="26" t="s">
        <v>328</v>
      </c>
      <c r="D105" s="26" t="s">
        <v>333</v>
      </c>
      <c r="E105" s="28">
        <v>-855</v>
      </c>
      <c r="F105" s="26" t="s">
        <v>330</v>
      </c>
      <c r="G105" s="28">
        <v>0</v>
      </c>
      <c r="H105" s="26" t="s">
        <v>331</v>
      </c>
    </row>
    <row r="106" spans="1:8">
      <c r="A106" s="26" t="s">
        <v>465</v>
      </c>
      <c r="B106" s="28">
        <v>1131</v>
      </c>
      <c r="C106" s="26" t="s">
        <v>328</v>
      </c>
      <c r="D106" s="26" t="s">
        <v>333</v>
      </c>
      <c r="E106" s="28">
        <v>-855</v>
      </c>
      <c r="F106" s="26" t="s">
        <v>330</v>
      </c>
      <c r="G106" s="28">
        <v>0</v>
      </c>
      <c r="H106" s="26" t="s">
        <v>331</v>
      </c>
    </row>
    <row r="107" spans="1:8">
      <c r="A107" s="26" t="s">
        <v>466</v>
      </c>
      <c r="B107" s="28">
        <v>1131</v>
      </c>
      <c r="C107" s="26" t="s">
        <v>328</v>
      </c>
      <c r="D107" s="26" t="s">
        <v>333</v>
      </c>
      <c r="E107" s="28">
        <v>-855</v>
      </c>
      <c r="F107" s="26" t="s">
        <v>330</v>
      </c>
      <c r="G107" s="28">
        <v>0</v>
      </c>
      <c r="H107" s="26" t="s">
        <v>331</v>
      </c>
    </row>
    <row r="108" spans="1:8">
      <c r="A108" s="26" t="s">
        <v>467</v>
      </c>
      <c r="B108" s="28">
        <v>1131</v>
      </c>
      <c r="C108" s="26" t="s">
        <v>328</v>
      </c>
      <c r="D108" s="26" t="s">
        <v>333</v>
      </c>
      <c r="E108" s="28">
        <v>-855</v>
      </c>
      <c r="F108" s="26" t="s">
        <v>330</v>
      </c>
      <c r="G108" s="28">
        <v>0</v>
      </c>
      <c r="H108" s="26" t="s">
        <v>331</v>
      </c>
    </row>
    <row r="109" spans="1:8">
      <c r="A109" s="26" t="s">
        <v>468</v>
      </c>
      <c r="B109" s="28">
        <v>1131</v>
      </c>
      <c r="C109" s="26" t="s">
        <v>328</v>
      </c>
      <c r="D109" s="26" t="s">
        <v>333</v>
      </c>
      <c r="E109" s="28">
        <v>-855</v>
      </c>
      <c r="F109" s="26" t="s">
        <v>330</v>
      </c>
      <c r="G109" s="28">
        <v>0</v>
      </c>
      <c r="H109" s="26" t="s">
        <v>331</v>
      </c>
    </row>
    <row r="110" spans="1:8">
      <c r="A110" s="26" t="s">
        <v>469</v>
      </c>
      <c r="B110" s="28">
        <v>1264</v>
      </c>
      <c r="C110" s="26" t="s">
        <v>328</v>
      </c>
      <c r="D110" s="26" t="s">
        <v>337</v>
      </c>
      <c r="E110" s="28">
        <v>-957</v>
      </c>
      <c r="F110" s="26" t="s">
        <v>330</v>
      </c>
      <c r="G110" s="28">
        <v>0</v>
      </c>
      <c r="H110" s="26" t="s">
        <v>331</v>
      </c>
    </row>
    <row r="111" spans="1:8">
      <c r="A111" s="26" t="s">
        <v>470</v>
      </c>
      <c r="B111" s="28">
        <v>1131</v>
      </c>
      <c r="C111" s="26" t="s">
        <v>328</v>
      </c>
      <c r="D111" s="26" t="s">
        <v>333</v>
      </c>
      <c r="E111" s="28">
        <v>-855</v>
      </c>
      <c r="F111" s="26" t="s">
        <v>330</v>
      </c>
      <c r="G111" s="28">
        <v>0</v>
      </c>
      <c r="H111" s="26" t="s">
        <v>331</v>
      </c>
    </row>
    <row r="112" spans="1:8">
      <c r="A112" s="26" t="s">
        <v>471</v>
      </c>
      <c r="B112" s="28">
        <v>2000</v>
      </c>
      <c r="C112" s="26" t="s">
        <v>328</v>
      </c>
      <c r="D112" s="26" t="s">
        <v>472</v>
      </c>
      <c r="E112" s="28">
        <v>0</v>
      </c>
      <c r="F112" s="26" t="s">
        <v>330</v>
      </c>
      <c r="G112" s="28">
        <v>0</v>
      </c>
      <c r="H112" s="26" t="s">
        <v>331</v>
      </c>
    </row>
    <row r="113" spans="1:8">
      <c r="A113" s="26" t="s">
        <v>473</v>
      </c>
      <c r="B113" s="28">
        <v>1131</v>
      </c>
      <c r="C113" s="26" t="s">
        <v>328</v>
      </c>
      <c r="D113" s="26" t="s">
        <v>333</v>
      </c>
      <c r="E113" s="28">
        <v>-855</v>
      </c>
      <c r="F113" s="26" t="s">
        <v>330</v>
      </c>
      <c r="G113" s="28">
        <v>0</v>
      </c>
      <c r="H113" s="26" t="s">
        <v>331</v>
      </c>
    </row>
    <row r="114" spans="1:8">
      <c r="A114" s="26" t="s">
        <v>474</v>
      </c>
      <c r="B114" s="27">
        <v>2528</v>
      </c>
      <c r="C114" s="26" t="s">
        <v>328</v>
      </c>
      <c r="D114" s="26" t="s">
        <v>340</v>
      </c>
      <c r="E114" s="28">
        <v>-1914</v>
      </c>
      <c r="F114" s="26" t="s">
        <v>330</v>
      </c>
      <c r="G114" s="28">
        <v>0</v>
      </c>
      <c r="H114" s="26" t="s">
        <v>331</v>
      </c>
    </row>
    <row r="115" spans="1:8">
      <c r="A115" s="26" t="s">
        <v>475</v>
      </c>
      <c r="B115" s="28">
        <v>1092</v>
      </c>
      <c r="C115" s="26" t="s">
        <v>328</v>
      </c>
      <c r="D115" s="26" t="s">
        <v>353</v>
      </c>
      <c r="E115" s="28">
        <v>-826</v>
      </c>
      <c r="F115" s="26" t="s">
        <v>330</v>
      </c>
      <c r="G115" s="28">
        <v>0</v>
      </c>
      <c r="H115" s="26" t="s">
        <v>331</v>
      </c>
    </row>
    <row r="116" spans="1:8">
      <c r="A116" s="26" t="s">
        <v>476</v>
      </c>
      <c r="B116" s="28">
        <v>1092</v>
      </c>
      <c r="C116" s="26" t="s">
        <v>328</v>
      </c>
      <c r="D116" s="26" t="s">
        <v>353</v>
      </c>
      <c r="E116" s="28">
        <v>-826</v>
      </c>
      <c r="F116" s="26" t="s">
        <v>330</v>
      </c>
      <c r="G116" s="28">
        <v>0</v>
      </c>
      <c r="H116" s="26" t="s">
        <v>331</v>
      </c>
    </row>
    <row r="117" spans="1:8">
      <c r="A117" s="26" t="s">
        <v>477</v>
      </c>
      <c r="B117" s="27">
        <v>2184</v>
      </c>
      <c r="C117" s="26" t="s">
        <v>328</v>
      </c>
      <c r="D117" s="26" t="s">
        <v>478</v>
      </c>
      <c r="E117" s="28">
        <v>-1652</v>
      </c>
      <c r="F117" s="26" t="s">
        <v>330</v>
      </c>
      <c r="G117" s="28">
        <v>0</v>
      </c>
      <c r="H117" s="26" t="s">
        <v>331</v>
      </c>
    </row>
    <row r="118" spans="1:8">
      <c r="A118" s="26" t="s">
        <v>479</v>
      </c>
      <c r="B118" s="28">
        <v>1264</v>
      </c>
      <c r="C118" s="26" t="s">
        <v>328</v>
      </c>
      <c r="D118" s="26" t="s">
        <v>337</v>
      </c>
      <c r="E118" s="28">
        <v>-957</v>
      </c>
      <c r="F118" s="26" t="s">
        <v>330</v>
      </c>
      <c r="G118" s="28">
        <v>0</v>
      </c>
      <c r="H118" s="26" t="s">
        <v>331</v>
      </c>
    </row>
    <row r="119" spans="1:8">
      <c r="A119" s="26" t="s">
        <v>480</v>
      </c>
      <c r="B119" s="28">
        <v>1131</v>
      </c>
      <c r="C119" s="26" t="s">
        <v>328</v>
      </c>
      <c r="D119" s="26" t="s">
        <v>333</v>
      </c>
      <c r="E119" s="28">
        <v>-855</v>
      </c>
      <c r="F119" s="26" t="s">
        <v>330</v>
      </c>
      <c r="G119" s="28">
        <v>0</v>
      </c>
      <c r="H119" s="26" t="s">
        <v>331</v>
      </c>
    </row>
    <row r="120" spans="1:8">
      <c r="A120" s="26" t="s">
        <v>481</v>
      </c>
      <c r="B120" s="27">
        <v>2394</v>
      </c>
      <c r="C120" s="26" t="s">
        <v>328</v>
      </c>
      <c r="D120" s="26" t="s">
        <v>340</v>
      </c>
      <c r="E120" s="28">
        <v>-2048</v>
      </c>
      <c r="F120" s="26" t="s">
        <v>330</v>
      </c>
      <c r="G120" s="28">
        <v>0</v>
      </c>
      <c r="H120" s="26" t="s">
        <v>331</v>
      </c>
    </row>
    <row r="121" spans="1:8">
      <c r="A121" s="26" t="s">
        <v>482</v>
      </c>
      <c r="B121" s="28">
        <v>1465</v>
      </c>
      <c r="C121" s="26" t="s">
        <v>328</v>
      </c>
      <c r="D121" s="26" t="s">
        <v>345</v>
      </c>
      <c r="E121" s="28">
        <v>-1109</v>
      </c>
      <c r="F121" s="26" t="s">
        <v>330</v>
      </c>
      <c r="G121" s="28">
        <v>0</v>
      </c>
      <c r="H121" s="26" t="s">
        <v>331</v>
      </c>
    </row>
    <row r="122" spans="1:8">
      <c r="A122" s="26" t="s">
        <v>483</v>
      </c>
      <c r="B122" s="27">
        <v>2262</v>
      </c>
      <c r="C122" s="26" t="s">
        <v>328</v>
      </c>
      <c r="D122" s="26" t="s">
        <v>370</v>
      </c>
      <c r="E122" s="28">
        <v>-1710</v>
      </c>
      <c r="F122" s="26" t="s">
        <v>330</v>
      </c>
      <c r="G122" s="28">
        <v>0</v>
      </c>
      <c r="H122" s="26" t="s">
        <v>331</v>
      </c>
    </row>
    <row r="123" spans="1:8">
      <c r="A123" s="26" t="s">
        <v>484</v>
      </c>
      <c r="B123" s="28">
        <v>1264</v>
      </c>
      <c r="C123" s="26" t="s">
        <v>328</v>
      </c>
      <c r="D123" s="26" t="s">
        <v>337</v>
      </c>
      <c r="E123" s="28">
        <v>-957</v>
      </c>
      <c r="F123" s="26" t="s">
        <v>330</v>
      </c>
      <c r="G123" s="28">
        <v>0</v>
      </c>
      <c r="H123" s="26" t="s">
        <v>331</v>
      </c>
    </row>
    <row r="124" spans="1:8">
      <c r="A124" s="26" t="s">
        <v>485</v>
      </c>
      <c r="B124" s="28">
        <v>1264</v>
      </c>
      <c r="C124" s="26" t="s">
        <v>328</v>
      </c>
      <c r="D124" s="26" t="s">
        <v>337</v>
      </c>
      <c r="E124" s="28">
        <v>-957</v>
      </c>
      <c r="F124" s="26" t="s">
        <v>330</v>
      </c>
      <c r="G124" s="28">
        <v>0</v>
      </c>
      <c r="H124" s="26" t="s">
        <v>331</v>
      </c>
    </row>
    <row r="125" spans="1:8">
      <c r="A125" s="26" t="s">
        <v>486</v>
      </c>
      <c r="B125" s="28">
        <v>1419</v>
      </c>
      <c r="C125" s="26" t="s">
        <v>328</v>
      </c>
      <c r="D125" s="26" t="s">
        <v>428</v>
      </c>
      <c r="E125" s="28">
        <v>-609</v>
      </c>
      <c r="F125" s="26" t="s">
        <v>330</v>
      </c>
      <c r="G125" s="28">
        <v>0</v>
      </c>
      <c r="H125" s="26" t="s">
        <v>331</v>
      </c>
    </row>
    <row r="126" spans="1:8">
      <c r="A126" s="26" t="s">
        <v>487</v>
      </c>
      <c r="B126" s="28">
        <v>1465</v>
      </c>
      <c r="C126" s="26" t="s">
        <v>328</v>
      </c>
      <c r="D126" s="26" t="s">
        <v>345</v>
      </c>
      <c r="E126" s="28">
        <v>-1109</v>
      </c>
      <c r="F126" s="26" t="s">
        <v>330</v>
      </c>
      <c r="G126" s="28">
        <v>0</v>
      </c>
      <c r="H126" s="26" t="s">
        <v>331</v>
      </c>
    </row>
    <row r="127" spans="1:8">
      <c r="A127" s="26" t="s">
        <v>488</v>
      </c>
      <c r="B127" s="28">
        <v>1131</v>
      </c>
      <c r="C127" s="26" t="s">
        <v>328</v>
      </c>
      <c r="D127" s="26" t="s">
        <v>333</v>
      </c>
      <c r="E127" s="28">
        <v>-855</v>
      </c>
      <c r="F127" s="26" t="s">
        <v>330</v>
      </c>
      <c r="G127" s="28">
        <v>0</v>
      </c>
      <c r="H127" s="26" t="s">
        <v>331</v>
      </c>
    </row>
    <row r="128" spans="1:8">
      <c r="A128" s="26" t="s">
        <v>489</v>
      </c>
      <c r="B128" s="28">
        <v>2394</v>
      </c>
      <c r="C128" s="26" t="s">
        <v>328</v>
      </c>
      <c r="D128" s="26" t="s">
        <v>340</v>
      </c>
      <c r="E128" s="28">
        <v>-2048</v>
      </c>
      <c r="F128" s="26" t="s">
        <v>330</v>
      </c>
      <c r="G128" s="28">
        <v>0</v>
      </c>
      <c r="H128" s="26" t="s">
        <v>331</v>
      </c>
    </row>
    <row r="129" spans="1:8">
      <c r="A129" s="26" t="s">
        <v>490</v>
      </c>
      <c r="B129" s="28">
        <v>999</v>
      </c>
      <c r="C129" s="26" t="s">
        <v>328</v>
      </c>
      <c r="D129" s="26" t="s">
        <v>393</v>
      </c>
      <c r="E129" s="28">
        <v>-177</v>
      </c>
      <c r="F129" s="26" t="s">
        <v>330</v>
      </c>
      <c r="G129" s="28">
        <v>0</v>
      </c>
      <c r="H129" s="26" t="s">
        <v>331</v>
      </c>
    </row>
    <row r="130" spans="1:8">
      <c r="A130" s="26" t="s">
        <v>491</v>
      </c>
      <c r="B130" s="28">
        <v>999</v>
      </c>
      <c r="C130" s="26" t="s">
        <v>328</v>
      </c>
      <c r="D130" s="26" t="s">
        <v>393</v>
      </c>
      <c r="E130" s="28">
        <v>-177</v>
      </c>
      <c r="F130" s="26" t="s">
        <v>330</v>
      </c>
      <c r="G130" s="28">
        <v>0</v>
      </c>
      <c r="H130" s="26" t="s">
        <v>331</v>
      </c>
    </row>
    <row r="131" spans="1:8">
      <c r="A131" s="26" t="s">
        <v>492</v>
      </c>
      <c r="B131" s="28">
        <v>1131</v>
      </c>
      <c r="C131" s="26" t="s">
        <v>328</v>
      </c>
      <c r="D131" s="26" t="s">
        <v>333</v>
      </c>
      <c r="E131" s="28">
        <v>-855</v>
      </c>
      <c r="F131" s="26" t="s">
        <v>330</v>
      </c>
      <c r="G131" s="28">
        <v>0</v>
      </c>
      <c r="H131" s="26" t="s">
        <v>331</v>
      </c>
    </row>
    <row r="132" spans="1:8">
      <c r="A132" s="26" t="s">
        <v>493</v>
      </c>
      <c r="B132" s="27">
        <v>2742</v>
      </c>
      <c r="C132" s="26" t="s">
        <v>328</v>
      </c>
      <c r="D132" s="26" t="s">
        <v>494</v>
      </c>
      <c r="E132" s="28">
        <v>-1534</v>
      </c>
      <c r="F132" s="26" t="s">
        <v>330</v>
      </c>
      <c r="G132" s="28">
        <v>0</v>
      </c>
      <c r="H132" s="26" t="s">
        <v>331</v>
      </c>
    </row>
    <row r="133" spans="1:8">
      <c r="A133" s="26" t="s">
        <v>493</v>
      </c>
      <c r="B133" s="27">
        <v>-1553</v>
      </c>
      <c r="C133" s="26" t="s">
        <v>328</v>
      </c>
      <c r="D133" s="26" t="s">
        <v>495</v>
      </c>
      <c r="E133" s="28">
        <v>635</v>
      </c>
      <c r="F133" s="26" t="s">
        <v>330</v>
      </c>
      <c r="G133" s="28">
        <v>0</v>
      </c>
      <c r="H133" s="26" t="s">
        <v>331</v>
      </c>
    </row>
    <row r="134" spans="1:8">
      <c r="A134" s="26" t="s">
        <v>496</v>
      </c>
      <c r="B134" s="28">
        <v>1465</v>
      </c>
      <c r="C134" s="26" t="s">
        <v>328</v>
      </c>
      <c r="D134" s="26" t="s">
        <v>345</v>
      </c>
      <c r="E134" s="28">
        <v>-1109</v>
      </c>
      <c r="F134" s="26" t="s">
        <v>330</v>
      </c>
      <c r="G134" s="28">
        <v>0</v>
      </c>
      <c r="H134" s="26" t="s">
        <v>331</v>
      </c>
    </row>
    <row r="135" spans="1:8">
      <c r="A135" s="26" t="s">
        <v>497</v>
      </c>
      <c r="B135" s="28">
        <v>2142</v>
      </c>
      <c r="C135" s="26" t="s">
        <v>328</v>
      </c>
      <c r="D135" s="26" t="s">
        <v>370</v>
      </c>
      <c r="E135" s="28">
        <v>-1830</v>
      </c>
      <c r="F135" s="26" t="s">
        <v>330</v>
      </c>
      <c r="G135" s="28">
        <v>0</v>
      </c>
      <c r="H135" s="26" t="s">
        <v>331</v>
      </c>
    </row>
    <row r="136" spans="1:8">
      <c r="A136" s="26" t="s">
        <v>498</v>
      </c>
      <c r="B136" s="28">
        <v>2394</v>
      </c>
      <c r="C136" s="26" t="s">
        <v>328</v>
      </c>
      <c r="D136" s="26" t="s">
        <v>340</v>
      </c>
      <c r="E136" s="28">
        <v>-2048</v>
      </c>
      <c r="F136" s="26" t="s">
        <v>330</v>
      </c>
      <c r="G136" s="28">
        <v>0</v>
      </c>
      <c r="H136" s="26" t="s">
        <v>331</v>
      </c>
    </row>
    <row r="137" spans="1:8">
      <c r="A137" s="26" t="s">
        <v>499</v>
      </c>
      <c r="B137" s="28">
        <v>999</v>
      </c>
      <c r="C137" s="26" t="s">
        <v>328</v>
      </c>
      <c r="D137" s="26" t="s">
        <v>393</v>
      </c>
      <c r="E137" s="28">
        <v>-177</v>
      </c>
      <c r="F137" s="26" t="s">
        <v>330</v>
      </c>
      <c r="G137" s="28">
        <v>0</v>
      </c>
      <c r="H137" s="26" t="s">
        <v>331</v>
      </c>
    </row>
    <row r="138" spans="1:8">
      <c r="A138" s="26" t="s">
        <v>500</v>
      </c>
      <c r="B138" s="28">
        <v>1264</v>
      </c>
      <c r="C138" s="26" t="s">
        <v>328</v>
      </c>
      <c r="D138" s="26" t="s">
        <v>337</v>
      </c>
      <c r="E138" s="28">
        <v>-957</v>
      </c>
      <c r="F138" s="26" t="s">
        <v>330</v>
      </c>
      <c r="G138" s="28">
        <v>0</v>
      </c>
      <c r="H138" s="26" t="s">
        <v>331</v>
      </c>
    </row>
    <row r="139" spans="1:8">
      <c r="A139" s="26" t="s">
        <v>501</v>
      </c>
      <c r="B139" s="28">
        <v>2394</v>
      </c>
      <c r="C139" s="26" t="s">
        <v>328</v>
      </c>
      <c r="D139" s="26" t="s">
        <v>340</v>
      </c>
      <c r="E139" s="28">
        <v>-2048</v>
      </c>
      <c r="F139" s="26" t="s">
        <v>330</v>
      </c>
      <c r="G139" s="28">
        <v>0</v>
      </c>
      <c r="H139" s="26" t="s">
        <v>331</v>
      </c>
    </row>
    <row r="140" spans="1:8">
      <c r="A140" s="26" t="s">
        <v>502</v>
      </c>
      <c r="B140" s="27">
        <v>2262</v>
      </c>
      <c r="C140" s="26" t="s">
        <v>328</v>
      </c>
      <c r="D140" s="26" t="s">
        <v>370</v>
      </c>
      <c r="E140" s="28">
        <v>-1710</v>
      </c>
      <c r="F140" s="26" t="s">
        <v>330</v>
      </c>
      <c r="G140" s="28">
        <v>0</v>
      </c>
      <c r="H140" s="26" t="s">
        <v>331</v>
      </c>
    </row>
    <row r="141" spans="1:8">
      <c r="A141" s="26" t="s">
        <v>503</v>
      </c>
      <c r="B141" s="28">
        <v>1465</v>
      </c>
      <c r="C141" s="26" t="s">
        <v>328</v>
      </c>
      <c r="D141" s="26" t="s">
        <v>345</v>
      </c>
      <c r="E141" s="28">
        <v>-1109</v>
      </c>
      <c r="F141" s="26" t="s">
        <v>330</v>
      </c>
      <c r="G141" s="28">
        <v>0</v>
      </c>
      <c r="H141" s="26" t="s">
        <v>331</v>
      </c>
    </row>
    <row r="142" spans="1:8">
      <c r="A142" s="26" t="s">
        <v>504</v>
      </c>
      <c r="B142" s="28">
        <v>5940</v>
      </c>
      <c r="C142" s="26" t="s">
        <v>328</v>
      </c>
      <c r="D142" s="26" t="s">
        <v>418</v>
      </c>
      <c r="E142" s="28">
        <v>-812</v>
      </c>
      <c r="F142" s="26" t="s">
        <v>330</v>
      </c>
      <c r="G142" s="28">
        <v>0</v>
      </c>
      <c r="H142" s="26" t="s">
        <v>331</v>
      </c>
    </row>
    <row r="143" spans="1:8">
      <c r="A143" s="26" t="s">
        <v>505</v>
      </c>
      <c r="B143" s="28">
        <v>1438</v>
      </c>
      <c r="C143" s="26" t="s">
        <v>328</v>
      </c>
      <c r="D143" s="26" t="s">
        <v>506</v>
      </c>
      <c r="E143" s="28">
        <v>0</v>
      </c>
      <c r="F143" s="26" t="s">
        <v>330</v>
      </c>
      <c r="G143" s="28">
        <v>0</v>
      </c>
      <c r="H143" s="26" t="s">
        <v>331</v>
      </c>
    </row>
    <row r="144" spans="1:8">
      <c r="A144" s="26" t="s">
        <v>507</v>
      </c>
      <c r="B144" s="28">
        <v>2975</v>
      </c>
      <c r="C144" s="26" t="s">
        <v>328</v>
      </c>
      <c r="D144" s="26" t="s">
        <v>508</v>
      </c>
      <c r="E144" s="28">
        <v>-2291</v>
      </c>
      <c r="F144" s="26" t="s">
        <v>330</v>
      </c>
      <c r="G144" s="28">
        <v>0</v>
      </c>
      <c r="H144" s="26" t="s">
        <v>331</v>
      </c>
    </row>
    <row r="145" spans="1:8">
      <c r="A145" s="26" t="s">
        <v>509</v>
      </c>
      <c r="B145" s="27">
        <v>3176</v>
      </c>
      <c r="C145" s="26" t="s">
        <v>328</v>
      </c>
      <c r="D145" s="26" t="s">
        <v>510</v>
      </c>
      <c r="E145" s="28">
        <v>0</v>
      </c>
      <c r="F145" s="26" t="s">
        <v>330</v>
      </c>
      <c r="G145" s="28">
        <v>0</v>
      </c>
      <c r="H145" s="26" t="s">
        <v>331</v>
      </c>
    </row>
    <row r="146" spans="1:8">
      <c r="A146" s="26" t="s">
        <v>511</v>
      </c>
      <c r="B146" s="28">
        <v>2311</v>
      </c>
      <c r="C146" s="26" t="s">
        <v>328</v>
      </c>
      <c r="D146" s="26" t="s">
        <v>512</v>
      </c>
      <c r="E146" s="28">
        <v>-1779</v>
      </c>
      <c r="F146" s="26" t="s">
        <v>330</v>
      </c>
      <c r="G146" s="28">
        <v>0</v>
      </c>
      <c r="H146" s="26" t="s">
        <v>331</v>
      </c>
    </row>
    <row r="147" spans="1:8">
      <c r="A147" s="26" t="s">
        <v>513</v>
      </c>
      <c r="B147" s="28">
        <v>1303</v>
      </c>
      <c r="C147" s="26" t="s">
        <v>328</v>
      </c>
      <c r="D147" s="26" t="s">
        <v>514</v>
      </c>
      <c r="E147" s="28">
        <v>-801</v>
      </c>
      <c r="F147" s="26" t="s">
        <v>330</v>
      </c>
      <c r="G147" s="28">
        <v>0</v>
      </c>
      <c r="H147" s="26" t="s">
        <v>331</v>
      </c>
    </row>
    <row r="148" spans="1:8">
      <c r="A148" s="26" t="s">
        <v>515</v>
      </c>
      <c r="B148" s="28">
        <v>1303</v>
      </c>
      <c r="C148" s="26" t="s">
        <v>328</v>
      </c>
      <c r="D148" s="26" t="s">
        <v>514</v>
      </c>
      <c r="E148" s="28">
        <v>-801</v>
      </c>
      <c r="F148" s="26" t="s">
        <v>330</v>
      </c>
      <c r="G148" s="28">
        <v>0</v>
      </c>
      <c r="H148" s="26" t="s">
        <v>331</v>
      </c>
    </row>
    <row r="149" spans="1:8">
      <c r="A149" s="26" t="s">
        <v>516</v>
      </c>
      <c r="B149" s="28">
        <v>1813</v>
      </c>
      <c r="C149" s="26" t="s">
        <v>328</v>
      </c>
      <c r="D149" s="26" t="s">
        <v>517</v>
      </c>
      <c r="E149" s="28">
        <v>-1114</v>
      </c>
      <c r="F149" s="26" t="s">
        <v>330</v>
      </c>
      <c r="G149" s="28">
        <v>0</v>
      </c>
      <c r="H149" s="26" t="s">
        <v>331</v>
      </c>
    </row>
    <row r="150" spans="1:8">
      <c r="A150" s="26" t="s">
        <v>518</v>
      </c>
      <c r="B150" s="28">
        <v>1303</v>
      </c>
      <c r="C150" s="26" t="s">
        <v>328</v>
      </c>
      <c r="D150" s="26" t="s">
        <v>514</v>
      </c>
      <c r="E150" s="28">
        <v>-801</v>
      </c>
      <c r="F150" s="26" t="s">
        <v>330</v>
      </c>
      <c r="G150" s="28">
        <v>0</v>
      </c>
      <c r="H150" s="26" t="s">
        <v>331</v>
      </c>
    </row>
    <row r="151" spans="1:8">
      <c r="A151" s="26" t="s">
        <v>519</v>
      </c>
      <c r="B151" s="28">
        <v>1303</v>
      </c>
      <c r="C151" s="26" t="s">
        <v>328</v>
      </c>
      <c r="D151" s="26" t="s">
        <v>514</v>
      </c>
      <c r="E151" s="28">
        <v>-801</v>
      </c>
      <c r="F151" s="26" t="s">
        <v>330</v>
      </c>
      <c r="G151" s="28">
        <v>0</v>
      </c>
      <c r="H151" s="26" t="s">
        <v>331</v>
      </c>
    </row>
    <row r="152" spans="1:8">
      <c r="A152" s="26" t="s">
        <v>520</v>
      </c>
      <c r="B152" s="28">
        <v>1668</v>
      </c>
      <c r="C152" s="26" t="s">
        <v>328</v>
      </c>
      <c r="D152" s="26" t="s">
        <v>521</v>
      </c>
      <c r="E152" s="28">
        <v>-1024</v>
      </c>
      <c r="F152" s="26" t="s">
        <v>330</v>
      </c>
      <c r="G152" s="28">
        <v>0</v>
      </c>
      <c r="H152" s="26" t="s">
        <v>331</v>
      </c>
    </row>
    <row r="153" spans="1:8">
      <c r="A153" s="26" t="s">
        <v>522</v>
      </c>
      <c r="B153" s="28">
        <v>2311</v>
      </c>
      <c r="C153" s="26" t="s">
        <v>328</v>
      </c>
      <c r="D153" s="26" t="s">
        <v>512</v>
      </c>
      <c r="E153" s="28">
        <v>-1779</v>
      </c>
      <c r="F153" s="26" t="s">
        <v>330</v>
      </c>
      <c r="G153" s="28">
        <v>0</v>
      </c>
      <c r="H153" s="26" t="s">
        <v>331</v>
      </c>
    </row>
    <row r="154" spans="1:8">
      <c r="A154" s="26" t="s">
        <v>523</v>
      </c>
      <c r="B154" s="28">
        <v>1303</v>
      </c>
      <c r="C154" s="26" t="s">
        <v>328</v>
      </c>
      <c r="D154" s="26" t="s">
        <v>514</v>
      </c>
      <c r="E154" s="28">
        <v>-801</v>
      </c>
      <c r="F154" s="26" t="s">
        <v>330</v>
      </c>
      <c r="G154" s="28">
        <v>0</v>
      </c>
      <c r="H154" s="26" t="s">
        <v>331</v>
      </c>
    </row>
    <row r="155" spans="1:8">
      <c r="A155" s="26" t="s">
        <v>524</v>
      </c>
      <c r="B155" s="28">
        <v>2311</v>
      </c>
      <c r="C155" s="26" t="s">
        <v>328</v>
      </c>
      <c r="D155" s="26" t="s">
        <v>512</v>
      </c>
      <c r="E155" s="28">
        <v>-1779</v>
      </c>
      <c r="F155" s="26" t="s">
        <v>330</v>
      </c>
      <c r="G155" s="28">
        <v>0</v>
      </c>
      <c r="H155" s="26" t="s">
        <v>331</v>
      </c>
    </row>
    <row r="156" spans="1:8">
      <c r="A156" s="26" t="s">
        <v>525</v>
      </c>
      <c r="B156" s="28">
        <v>1303</v>
      </c>
      <c r="C156" s="26" t="s">
        <v>328</v>
      </c>
      <c r="D156" s="26" t="s">
        <v>514</v>
      </c>
      <c r="E156" s="28">
        <v>-801</v>
      </c>
      <c r="F156" s="26" t="s">
        <v>330</v>
      </c>
      <c r="G156" s="28">
        <v>0</v>
      </c>
      <c r="H156" s="26" t="s">
        <v>331</v>
      </c>
    </row>
    <row r="157" spans="1:8">
      <c r="A157" s="26" t="s">
        <v>526</v>
      </c>
      <c r="B157" s="28">
        <v>1588</v>
      </c>
      <c r="C157" s="26" t="s">
        <v>328</v>
      </c>
      <c r="D157" s="26" t="s">
        <v>527</v>
      </c>
      <c r="E157" s="28">
        <v>0</v>
      </c>
      <c r="F157" s="26" t="s">
        <v>330</v>
      </c>
      <c r="G157" s="28">
        <v>0</v>
      </c>
      <c r="H157" s="26" t="s">
        <v>331</v>
      </c>
    </row>
    <row r="158" spans="1:8">
      <c r="A158" s="26" t="s">
        <v>528</v>
      </c>
      <c r="B158" s="28">
        <v>1303</v>
      </c>
      <c r="C158" s="26" t="s">
        <v>328</v>
      </c>
      <c r="D158" s="26" t="s">
        <v>514</v>
      </c>
      <c r="E158" s="28">
        <v>-801</v>
      </c>
      <c r="F158" s="26" t="s">
        <v>330</v>
      </c>
      <c r="G158" s="28">
        <v>0</v>
      </c>
      <c r="H158" s="26" t="s">
        <v>331</v>
      </c>
    </row>
    <row r="159" spans="1:8">
      <c r="A159" s="26" t="s">
        <v>529</v>
      </c>
      <c r="B159" s="27">
        <v>4323</v>
      </c>
      <c r="C159" s="26" t="s">
        <v>328</v>
      </c>
      <c r="D159" s="26" t="s">
        <v>359</v>
      </c>
      <c r="E159" s="28">
        <v>-3870</v>
      </c>
      <c r="F159" s="26" t="s">
        <v>330</v>
      </c>
      <c r="G159" s="28">
        <v>0</v>
      </c>
      <c r="H159" s="26" t="s">
        <v>331</v>
      </c>
    </row>
    <row r="160" spans="1:8">
      <c r="A160" s="26" t="s">
        <v>529</v>
      </c>
      <c r="B160" s="27">
        <v>-1674</v>
      </c>
      <c r="C160" s="26" t="s">
        <v>328</v>
      </c>
      <c r="D160" s="26" t="s">
        <v>530</v>
      </c>
      <c r="E160" s="28">
        <v>1371</v>
      </c>
      <c r="F160" s="26" t="s">
        <v>330</v>
      </c>
      <c r="G160" s="28">
        <v>0</v>
      </c>
      <c r="H160" s="26" t="s">
        <v>331</v>
      </c>
    </row>
    <row r="161" spans="1:8">
      <c r="A161" s="26" t="s">
        <v>531</v>
      </c>
      <c r="B161" s="28">
        <v>1449</v>
      </c>
      <c r="C161" s="26" t="s">
        <v>328</v>
      </c>
      <c r="D161" s="26" t="s">
        <v>532</v>
      </c>
      <c r="E161" s="28">
        <v>-890</v>
      </c>
      <c r="F161" s="26" t="s">
        <v>330</v>
      </c>
      <c r="G161" s="28">
        <v>0</v>
      </c>
      <c r="H161" s="26" t="s">
        <v>331</v>
      </c>
    </row>
    <row r="162" spans="1:8">
      <c r="A162" s="26" t="s">
        <v>533</v>
      </c>
      <c r="B162" s="28">
        <v>2469</v>
      </c>
      <c r="C162" s="26" t="s">
        <v>328</v>
      </c>
      <c r="D162" s="26" t="s">
        <v>534</v>
      </c>
      <c r="E162" s="28">
        <v>-2561</v>
      </c>
      <c r="F162" s="26" t="s">
        <v>330</v>
      </c>
      <c r="G162" s="28">
        <v>0</v>
      </c>
      <c r="H162" s="26" t="s">
        <v>331</v>
      </c>
    </row>
    <row r="163" spans="1:8">
      <c r="A163" s="26" t="s">
        <v>535</v>
      </c>
      <c r="B163" s="28">
        <v>2311</v>
      </c>
      <c r="C163" s="26" t="s">
        <v>328</v>
      </c>
      <c r="D163" s="26" t="s">
        <v>512</v>
      </c>
      <c r="E163" s="28">
        <v>-1779</v>
      </c>
      <c r="F163" s="26" t="s">
        <v>330</v>
      </c>
      <c r="G163" s="28">
        <v>0</v>
      </c>
      <c r="H163" s="26" t="s">
        <v>331</v>
      </c>
    </row>
    <row r="164" spans="1:8">
      <c r="A164" s="26" t="s">
        <v>536</v>
      </c>
      <c r="B164" s="28">
        <v>1303</v>
      </c>
      <c r="C164" s="26" t="s">
        <v>328</v>
      </c>
      <c r="D164" s="26" t="s">
        <v>514</v>
      </c>
      <c r="E164" s="28">
        <v>-801</v>
      </c>
      <c r="F164" s="26" t="s">
        <v>330</v>
      </c>
      <c r="G164" s="28">
        <v>0</v>
      </c>
      <c r="H164" s="26" t="s">
        <v>331</v>
      </c>
    </row>
    <row r="165" spans="1:8">
      <c r="A165" s="26" t="s">
        <v>537</v>
      </c>
      <c r="B165" s="27">
        <v>5950</v>
      </c>
      <c r="C165" s="26" t="s">
        <v>328</v>
      </c>
      <c r="D165" s="26" t="s">
        <v>538</v>
      </c>
      <c r="E165" s="28">
        <v>-4582</v>
      </c>
      <c r="F165" s="26" t="s">
        <v>330</v>
      </c>
      <c r="G165" s="28">
        <v>0</v>
      </c>
      <c r="H165" s="26" t="s">
        <v>331</v>
      </c>
    </row>
    <row r="166" spans="1:8">
      <c r="A166" s="26" t="s">
        <v>539</v>
      </c>
      <c r="B166" s="28">
        <v>1258</v>
      </c>
      <c r="C166" s="26" t="s">
        <v>328</v>
      </c>
      <c r="D166" s="26" t="s">
        <v>540</v>
      </c>
      <c r="E166" s="28">
        <v>-774</v>
      </c>
      <c r="F166" s="26" t="s">
        <v>330</v>
      </c>
      <c r="G166" s="28">
        <v>0</v>
      </c>
      <c r="H166" s="26" t="s">
        <v>331</v>
      </c>
    </row>
    <row r="167" spans="1:8">
      <c r="A167" s="26" t="s">
        <v>541</v>
      </c>
      <c r="B167" s="27">
        <v>4464</v>
      </c>
      <c r="C167" s="26" t="s">
        <v>328</v>
      </c>
      <c r="D167" s="26" t="s">
        <v>542</v>
      </c>
      <c r="E167" s="28">
        <v>-3436</v>
      </c>
      <c r="F167" s="26" t="s">
        <v>330</v>
      </c>
      <c r="G167" s="28">
        <v>0</v>
      </c>
      <c r="H167" s="26" t="s">
        <v>331</v>
      </c>
    </row>
    <row r="168" spans="1:8">
      <c r="A168" s="26" t="s">
        <v>543</v>
      </c>
      <c r="B168" s="28">
        <v>2905</v>
      </c>
      <c r="C168" s="26" t="s">
        <v>328</v>
      </c>
      <c r="D168" s="26" t="s">
        <v>398</v>
      </c>
      <c r="E168" s="28">
        <v>-2243</v>
      </c>
      <c r="F168" s="26" t="s">
        <v>330</v>
      </c>
      <c r="G168" s="28">
        <v>0</v>
      </c>
      <c r="H168" s="26" t="s">
        <v>331</v>
      </c>
    </row>
    <row r="169" spans="1:8">
      <c r="A169" s="26" t="s">
        <v>544</v>
      </c>
      <c r="B169" s="27">
        <v>3774</v>
      </c>
      <c r="C169" s="26" t="s">
        <v>328</v>
      </c>
      <c r="D169" s="26" t="s">
        <v>545</v>
      </c>
      <c r="E169" s="28">
        <v>-2322</v>
      </c>
      <c r="F169" s="26" t="s">
        <v>330</v>
      </c>
      <c r="G169" s="28">
        <v>0</v>
      </c>
      <c r="H169" s="26" t="s">
        <v>331</v>
      </c>
    </row>
    <row r="170" spans="1:8">
      <c r="A170" s="26" t="s">
        <v>546</v>
      </c>
      <c r="B170" s="28">
        <v>2232</v>
      </c>
      <c r="C170" s="26" t="s">
        <v>328</v>
      </c>
      <c r="D170" s="26" t="s">
        <v>547</v>
      </c>
      <c r="E170" s="28">
        <v>-1718</v>
      </c>
      <c r="F170" s="26" t="s">
        <v>330</v>
      </c>
      <c r="G170" s="28">
        <v>0</v>
      </c>
      <c r="H170" s="26" t="s">
        <v>331</v>
      </c>
    </row>
    <row r="171" spans="1:8">
      <c r="A171" s="26" t="s">
        <v>548</v>
      </c>
      <c r="B171" s="27">
        <v>3626</v>
      </c>
      <c r="C171" s="26" t="s">
        <v>328</v>
      </c>
      <c r="D171" s="26" t="s">
        <v>549</v>
      </c>
      <c r="E171" s="28">
        <v>-2228</v>
      </c>
      <c r="F171" s="26" t="s">
        <v>330</v>
      </c>
      <c r="G171" s="28">
        <v>0</v>
      </c>
      <c r="H171" s="26" t="s">
        <v>331</v>
      </c>
    </row>
    <row r="172" spans="1:8">
      <c r="A172" s="26" t="s">
        <v>550</v>
      </c>
      <c r="B172" s="28">
        <v>2232</v>
      </c>
      <c r="C172" s="26" t="s">
        <v>328</v>
      </c>
      <c r="D172" s="26" t="s">
        <v>547</v>
      </c>
      <c r="E172" s="28">
        <v>-1718</v>
      </c>
      <c r="F172" s="26" t="s">
        <v>330</v>
      </c>
      <c r="G172" s="28">
        <v>0</v>
      </c>
      <c r="H172" s="26" t="s">
        <v>331</v>
      </c>
    </row>
    <row r="173" spans="1:8">
      <c r="A173" s="26" t="s">
        <v>551</v>
      </c>
      <c r="B173" s="28">
        <v>1958</v>
      </c>
      <c r="C173" s="26" t="s">
        <v>328</v>
      </c>
      <c r="D173" s="26" t="s">
        <v>552</v>
      </c>
      <c r="E173" s="28">
        <v>-1204</v>
      </c>
      <c r="F173" s="26" t="s">
        <v>330</v>
      </c>
      <c r="G173" s="28">
        <v>0</v>
      </c>
      <c r="H173" s="26" t="s">
        <v>331</v>
      </c>
    </row>
    <row r="174" spans="1:8">
      <c r="A174" s="26" t="s">
        <v>553</v>
      </c>
      <c r="B174" s="28">
        <v>1594</v>
      </c>
      <c r="C174" s="26" t="s">
        <v>328</v>
      </c>
      <c r="D174" s="26" t="s">
        <v>345</v>
      </c>
      <c r="E174" s="28">
        <v>-980</v>
      </c>
      <c r="F174" s="26" t="s">
        <v>330</v>
      </c>
      <c r="G174" s="28">
        <v>0</v>
      </c>
      <c r="H174" s="26" t="s">
        <v>331</v>
      </c>
    </row>
    <row r="175" spans="1:8">
      <c r="A175" s="26" t="s">
        <v>554</v>
      </c>
      <c r="B175" s="28">
        <v>2963</v>
      </c>
      <c r="C175" s="26" t="s">
        <v>328</v>
      </c>
      <c r="D175" s="26" t="s">
        <v>555</v>
      </c>
      <c r="E175" s="28">
        <v>-1715</v>
      </c>
      <c r="F175" s="26" t="s">
        <v>330</v>
      </c>
      <c r="G175" s="28">
        <v>0</v>
      </c>
      <c r="H175" s="26" t="s">
        <v>331</v>
      </c>
    </row>
    <row r="176" spans="1:8">
      <c r="A176" s="26" t="s">
        <v>556</v>
      </c>
      <c r="B176" s="27">
        <v>3916</v>
      </c>
      <c r="C176" s="26" t="s">
        <v>328</v>
      </c>
      <c r="D176" s="26" t="s">
        <v>557</v>
      </c>
      <c r="E176" s="28">
        <v>-2408</v>
      </c>
      <c r="F176" s="26" t="s">
        <v>330</v>
      </c>
      <c r="G176" s="28">
        <v>0</v>
      </c>
      <c r="H176" s="26" t="s">
        <v>331</v>
      </c>
    </row>
    <row r="177" spans="1:8">
      <c r="A177" s="26" t="s">
        <v>558</v>
      </c>
      <c r="B177" s="28">
        <v>1720</v>
      </c>
      <c r="C177" s="26" t="s">
        <v>328</v>
      </c>
      <c r="D177" s="26" t="s">
        <v>442</v>
      </c>
      <c r="E177" s="28">
        <v>-378</v>
      </c>
      <c r="F177" s="26" t="s">
        <v>330</v>
      </c>
      <c r="G177" s="28">
        <v>0</v>
      </c>
      <c r="H177" s="26" t="s">
        <v>331</v>
      </c>
    </row>
    <row r="178" spans="1:8">
      <c r="A178" s="26" t="s">
        <v>559</v>
      </c>
      <c r="B178" s="28">
        <v>1594</v>
      </c>
      <c r="C178" s="26" t="s">
        <v>328</v>
      </c>
      <c r="D178" s="26" t="s">
        <v>345</v>
      </c>
      <c r="E178" s="28">
        <v>-980</v>
      </c>
      <c r="F178" s="26" t="s">
        <v>330</v>
      </c>
      <c r="G178" s="28">
        <v>0</v>
      </c>
      <c r="H178" s="26" t="s">
        <v>331</v>
      </c>
    </row>
    <row r="179" spans="1:8">
      <c r="A179" s="26" t="s">
        <v>560</v>
      </c>
      <c r="B179" s="28">
        <v>1540</v>
      </c>
      <c r="C179" s="26" t="s">
        <v>328</v>
      </c>
      <c r="D179" s="26" t="s">
        <v>561</v>
      </c>
      <c r="E179" s="28">
        <v>-946</v>
      </c>
      <c r="F179" s="26" t="s">
        <v>330</v>
      </c>
      <c r="G179" s="28">
        <v>0</v>
      </c>
      <c r="H179" s="26" t="s">
        <v>331</v>
      </c>
    </row>
    <row r="180" spans="1:8">
      <c r="A180" s="26" t="s">
        <v>562</v>
      </c>
      <c r="B180" s="28">
        <v>1740</v>
      </c>
      <c r="C180" s="26" t="s">
        <v>328</v>
      </c>
      <c r="D180" s="26" t="s">
        <v>563</v>
      </c>
      <c r="E180" s="28">
        <v>-1069</v>
      </c>
      <c r="F180" s="26" t="s">
        <v>330</v>
      </c>
      <c r="G180" s="28">
        <v>0</v>
      </c>
      <c r="H180" s="26" t="s">
        <v>331</v>
      </c>
    </row>
    <row r="181" spans="1:8">
      <c r="A181" s="26" t="s">
        <v>564</v>
      </c>
      <c r="B181" s="28">
        <v>1594</v>
      </c>
      <c r="C181" s="26" t="s">
        <v>328</v>
      </c>
      <c r="D181" s="26" t="s">
        <v>345</v>
      </c>
      <c r="E181" s="28">
        <v>-980</v>
      </c>
      <c r="F181" s="26" t="s">
        <v>330</v>
      </c>
      <c r="G181" s="28">
        <v>0</v>
      </c>
      <c r="H181" s="26" t="s">
        <v>331</v>
      </c>
    </row>
    <row r="182" spans="1:8">
      <c r="A182" s="26" t="s">
        <v>565</v>
      </c>
      <c r="B182" s="28">
        <v>1887</v>
      </c>
      <c r="C182" s="26" t="s">
        <v>328</v>
      </c>
      <c r="D182" s="26" t="s">
        <v>566</v>
      </c>
      <c r="E182" s="28">
        <v>-1158</v>
      </c>
      <c r="F182" s="26" t="s">
        <v>330</v>
      </c>
      <c r="G182" s="28">
        <v>0</v>
      </c>
      <c r="H182" s="26" t="s">
        <v>331</v>
      </c>
    </row>
    <row r="183" spans="1:8">
      <c r="A183" s="26" t="s">
        <v>567</v>
      </c>
      <c r="B183" s="28">
        <v>1594</v>
      </c>
      <c r="C183" s="26" t="s">
        <v>328</v>
      </c>
      <c r="D183" s="26" t="s">
        <v>345</v>
      </c>
      <c r="E183" s="28">
        <v>-980</v>
      </c>
      <c r="F183" s="26" t="s">
        <v>330</v>
      </c>
      <c r="G183" s="28">
        <v>0</v>
      </c>
      <c r="H183" s="26" t="s">
        <v>331</v>
      </c>
    </row>
    <row r="184" spans="1:8">
      <c r="A184" s="26" t="s">
        <v>568</v>
      </c>
      <c r="B184" s="28">
        <v>1594</v>
      </c>
      <c r="C184" s="26" t="s">
        <v>328</v>
      </c>
      <c r="D184" s="26" t="s">
        <v>345</v>
      </c>
      <c r="E184" s="28">
        <v>-980</v>
      </c>
      <c r="F184" s="26" t="s">
        <v>330</v>
      </c>
      <c r="G184" s="28">
        <v>0</v>
      </c>
      <c r="H184" s="26" t="s">
        <v>331</v>
      </c>
    </row>
    <row r="185" spans="1:8">
      <c r="A185" s="26" t="s">
        <v>569</v>
      </c>
      <c r="B185" s="28">
        <v>1540</v>
      </c>
      <c r="C185" s="26" t="s">
        <v>328</v>
      </c>
      <c r="D185" s="26" t="s">
        <v>561</v>
      </c>
      <c r="E185" s="28">
        <v>-946</v>
      </c>
      <c r="F185" s="26" t="s">
        <v>330</v>
      </c>
      <c r="G185" s="28">
        <v>0</v>
      </c>
      <c r="H185" s="26" t="s">
        <v>331</v>
      </c>
    </row>
    <row r="186" spans="1:8">
      <c r="A186" s="26" t="s">
        <v>570</v>
      </c>
      <c r="B186" s="28">
        <v>1594</v>
      </c>
      <c r="C186" s="26" t="s">
        <v>328</v>
      </c>
      <c r="D186" s="26" t="s">
        <v>345</v>
      </c>
      <c r="E186" s="28">
        <v>-980</v>
      </c>
      <c r="F186" s="26" t="s">
        <v>330</v>
      </c>
      <c r="G186" s="28">
        <v>0</v>
      </c>
      <c r="H186" s="26" t="s">
        <v>331</v>
      </c>
    </row>
    <row r="187" spans="1:8">
      <c r="A187" s="26" t="s">
        <v>571</v>
      </c>
      <c r="B187" s="28">
        <v>2782</v>
      </c>
      <c r="C187" s="26" t="s">
        <v>328</v>
      </c>
      <c r="D187" s="26" t="s">
        <v>555</v>
      </c>
      <c r="E187" s="28">
        <v>-1896</v>
      </c>
      <c r="F187" s="26" t="s">
        <v>330</v>
      </c>
      <c r="G187" s="28">
        <v>0</v>
      </c>
      <c r="H187" s="26" t="s">
        <v>331</v>
      </c>
    </row>
    <row r="188" spans="1:8">
      <c r="A188" s="26" t="s">
        <v>572</v>
      </c>
      <c r="B188" s="28">
        <v>1720</v>
      </c>
      <c r="C188" s="26" t="s">
        <v>328</v>
      </c>
      <c r="D188" s="26" t="s">
        <v>442</v>
      </c>
      <c r="E188" s="28">
        <v>-378</v>
      </c>
      <c r="F188" s="26" t="s">
        <v>330</v>
      </c>
      <c r="G188" s="28">
        <v>0</v>
      </c>
      <c r="H188" s="26" t="s">
        <v>331</v>
      </c>
    </row>
    <row r="189" spans="1:8">
      <c r="A189" s="26" t="s">
        <v>573</v>
      </c>
      <c r="B189" s="28">
        <v>3853</v>
      </c>
      <c r="C189" s="26" t="s">
        <v>328</v>
      </c>
      <c r="D189" s="26" t="s">
        <v>574</v>
      </c>
      <c r="E189" s="28">
        <v>-2811</v>
      </c>
      <c r="F189" s="26" t="s">
        <v>330</v>
      </c>
      <c r="G189" s="28">
        <v>0</v>
      </c>
      <c r="H189" s="26" t="s">
        <v>331</v>
      </c>
    </row>
    <row r="190" spans="1:8">
      <c r="A190" s="26" t="s">
        <v>575</v>
      </c>
      <c r="B190" s="28">
        <v>3853</v>
      </c>
      <c r="C190" s="26" t="s">
        <v>328</v>
      </c>
      <c r="D190" s="26" t="s">
        <v>574</v>
      </c>
      <c r="E190" s="28">
        <v>-2811</v>
      </c>
      <c r="F190" s="26" t="s">
        <v>330</v>
      </c>
      <c r="G190" s="28">
        <v>0</v>
      </c>
      <c r="H190" s="26" t="s">
        <v>331</v>
      </c>
    </row>
    <row r="191" spans="1:8">
      <c r="A191" s="26" t="s">
        <v>576</v>
      </c>
      <c r="B191" s="28">
        <v>1881</v>
      </c>
      <c r="C191" s="26" t="s">
        <v>328</v>
      </c>
      <c r="D191" s="26" t="s">
        <v>563</v>
      </c>
      <c r="E191" s="28">
        <v>-928</v>
      </c>
      <c r="F191" s="26" t="s">
        <v>330</v>
      </c>
      <c r="G191" s="28">
        <v>0</v>
      </c>
      <c r="H191" s="26" t="s">
        <v>331</v>
      </c>
    </row>
    <row r="192" spans="1:8">
      <c r="A192" s="26" t="s">
        <v>577</v>
      </c>
      <c r="B192" s="28">
        <v>1594</v>
      </c>
      <c r="C192" s="26" t="s">
        <v>328</v>
      </c>
      <c r="D192" s="26" t="s">
        <v>345</v>
      </c>
      <c r="E192" s="28">
        <v>-980</v>
      </c>
      <c r="F192" s="26" t="s">
        <v>330</v>
      </c>
      <c r="G192" s="28">
        <v>0</v>
      </c>
      <c r="H192" s="26" t="s">
        <v>331</v>
      </c>
    </row>
    <row r="193" spans="1:8">
      <c r="A193" s="26" t="s">
        <v>578</v>
      </c>
      <c r="B193" s="28">
        <v>2782</v>
      </c>
      <c r="C193" s="26" t="s">
        <v>328</v>
      </c>
      <c r="D193" s="26" t="s">
        <v>555</v>
      </c>
      <c r="E193" s="28">
        <v>-1896</v>
      </c>
      <c r="F193" s="26" t="s">
        <v>330</v>
      </c>
      <c r="G193" s="28">
        <v>0</v>
      </c>
      <c r="H193" s="26" t="s">
        <v>331</v>
      </c>
    </row>
    <row r="194" spans="1:8">
      <c r="A194" s="26" t="s">
        <v>579</v>
      </c>
      <c r="B194" s="28">
        <v>2106</v>
      </c>
      <c r="C194" s="26" t="s">
        <v>328</v>
      </c>
      <c r="D194" s="26" t="s">
        <v>425</v>
      </c>
      <c r="E194" s="28">
        <v>-1292</v>
      </c>
      <c r="F194" s="26" t="s">
        <v>330</v>
      </c>
      <c r="G194" s="28">
        <v>0</v>
      </c>
      <c r="H194" s="26" t="s">
        <v>331</v>
      </c>
    </row>
    <row r="195" spans="1:8">
      <c r="A195" s="26" t="s">
        <v>580</v>
      </c>
      <c r="B195" s="28">
        <v>2470</v>
      </c>
      <c r="C195" s="26" t="s">
        <v>328</v>
      </c>
      <c r="D195" s="26" t="s">
        <v>581</v>
      </c>
      <c r="E195" s="28">
        <v>-1516</v>
      </c>
      <c r="F195" s="26" t="s">
        <v>330</v>
      </c>
      <c r="G195" s="28">
        <v>0</v>
      </c>
      <c r="H195" s="26" t="s">
        <v>331</v>
      </c>
    </row>
    <row r="196" spans="1:8">
      <c r="A196" s="26" t="s">
        <v>582</v>
      </c>
      <c r="B196" s="28">
        <v>2963</v>
      </c>
      <c r="C196" s="26" t="s">
        <v>328</v>
      </c>
      <c r="D196" s="26" t="s">
        <v>555</v>
      </c>
      <c r="E196" s="28">
        <v>-1715</v>
      </c>
      <c r="F196" s="26" t="s">
        <v>330</v>
      </c>
      <c r="G196" s="28">
        <v>0</v>
      </c>
      <c r="H196" s="26" t="s">
        <v>331</v>
      </c>
    </row>
    <row r="197" spans="1:8">
      <c r="A197" s="26" t="s">
        <v>583</v>
      </c>
      <c r="B197" s="27">
        <v>3440</v>
      </c>
      <c r="C197" s="26" t="s">
        <v>328</v>
      </c>
      <c r="D197" s="26" t="s">
        <v>584</v>
      </c>
      <c r="E197" s="28">
        <v>-756</v>
      </c>
      <c r="F197" s="26" t="s">
        <v>330</v>
      </c>
      <c r="G197" s="28">
        <v>0</v>
      </c>
      <c r="H197" s="26" t="s">
        <v>331</v>
      </c>
    </row>
    <row r="198" spans="1:8">
      <c r="A198" s="26" t="s">
        <v>585</v>
      </c>
      <c r="B198" s="28">
        <v>1665</v>
      </c>
      <c r="C198" s="26" t="s">
        <v>328</v>
      </c>
      <c r="D198" s="26" t="s">
        <v>561</v>
      </c>
      <c r="E198" s="28">
        <v>-821</v>
      </c>
      <c r="F198" s="26" t="s">
        <v>330</v>
      </c>
      <c r="G198" s="28">
        <v>0</v>
      </c>
      <c r="H198" s="26" t="s">
        <v>331</v>
      </c>
    </row>
    <row r="199" spans="1:8">
      <c r="A199" s="26" t="s">
        <v>586</v>
      </c>
      <c r="B199" s="28">
        <v>1795</v>
      </c>
      <c r="C199" s="26" t="s">
        <v>328</v>
      </c>
      <c r="D199" s="26" t="s">
        <v>566</v>
      </c>
      <c r="E199" s="28">
        <v>-1250</v>
      </c>
      <c r="F199" s="26" t="s">
        <v>330</v>
      </c>
      <c r="G199" s="28">
        <v>0</v>
      </c>
      <c r="H199" s="26" t="s">
        <v>331</v>
      </c>
    </row>
    <row r="200" spans="1:8">
      <c r="A200" s="26" t="s">
        <v>587</v>
      </c>
      <c r="B200" s="28">
        <v>3260</v>
      </c>
      <c r="C200" s="26" t="s">
        <v>328</v>
      </c>
      <c r="D200" s="26" t="s">
        <v>398</v>
      </c>
      <c r="E200" s="28">
        <v>-1888</v>
      </c>
      <c r="F200" s="26" t="s">
        <v>330</v>
      </c>
      <c r="G200" s="28">
        <v>0</v>
      </c>
      <c r="H200" s="26" t="s">
        <v>331</v>
      </c>
    </row>
    <row r="201" spans="1:8">
      <c r="A201" s="26" t="s">
        <v>588</v>
      </c>
      <c r="B201" s="28">
        <v>2963</v>
      </c>
      <c r="C201" s="26" t="s">
        <v>328</v>
      </c>
      <c r="D201" s="26" t="s">
        <v>555</v>
      </c>
      <c r="E201" s="28">
        <v>-1715</v>
      </c>
      <c r="F201" s="26" t="s">
        <v>330</v>
      </c>
      <c r="G201" s="28">
        <v>0</v>
      </c>
      <c r="H201" s="26" t="s">
        <v>331</v>
      </c>
    </row>
    <row r="202" spans="1:8">
      <c r="A202" s="26" t="s">
        <v>589</v>
      </c>
      <c r="B202" s="28">
        <v>1594</v>
      </c>
      <c r="C202" s="26" t="s">
        <v>328</v>
      </c>
      <c r="D202" s="26" t="s">
        <v>345</v>
      </c>
      <c r="E202" s="28">
        <v>-980</v>
      </c>
      <c r="F202" s="26" t="s">
        <v>330</v>
      </c>
      <c r="G202" s="28">
        <v>0</v>
      </c>
      <c r="H202" s="26" t="s">
        <v>331</v>
      </c>
    </row>
    <row r="203" spans="1:8">
      <c r="A203" s="26" t="s">
        <v>590</v>
      </c>
      <c r="B203" s="28">
        <v>2782</v>
      </c>
      <c r="C203" s="26" t="s">
        <v>328</v>
      </c>
      <c r="D203" s="26" t="s">
        <v>555</v>
      </c>
      <c r="E203" s="28">
        <v>-1896</v>
      </c>
      <c r="F203" s="26" t="s">
        <v>330</v>
      </c>
      <c r="G203" s="28">
        <v>0</v>
      </c>
      <c r="H203" s="26" t="s">
        <v>331</v>
      </c>
    </row>
    <row r="204" spans="1:8">
      <c r="A204" s="26" t="s">
        <v>591</v>
      </c>
      <c r="B204" s="28">
        <v>1958</v>
      </c>
      <c r="C204" s="26" t="s">
        <v>328</v>
      </c>
      <c r="D204" s="26" t="s">
        <v>552</v>
      </c>
      <c r="E204" s="28">
        <v>-1204</v>
      </c>
      <c r="F204" s="26" t="s">
        <v>330</v>
      </c>
      <c r="G204" s="28">
        <v>0</v>
      </c>
      <c r="H204" s="26" t="s">
        <v>331</v>
      </c>
    </row>
    <row r="205" spans="1:8">
      <c r="A205" s="26" t="s">
        <v>592</v>
      </c>
      <c r="B205" s="28">
        <v>2963</v>
      </c>
      <c r="C205" s="26" t="s">
        <v>328</v>
      </c>
      <c r="D205" s="26" t="s">
        <v>555</v>
      </c>
      <c r="E205" s="28">
        <v>-1715</v>
      </c>
      <c r="F205" s="26" t="s">
        <v>330</v>
      </c>
      <c r="G205" s="28">
        <v>0</v>
      </c>
      <c r="H205" s="26" t="s">
        <v>331</v>
      </c>
    </row>
    <row r="206" spans="1:8">
      <c r="A206" s="26" t="s">
        <v>593</v>
      </c>
      <c r="B206" s="28">
        <v>1740</v>
      </c>
      <c r="C206" s="26" t="s">
        <v>328</v>
      </c>
      <c r="D206" s="26" t="s">
        <v>563</v>
      </c>
      <c r="E206" s="28">
        <v>-1069</v>
      </c>
      <c r="F206" s="26" t="s">
        <v>330</v>
      </c>
      <c r="G206" s="28">
        <v>0</v>
      </c>
      <c r="H206" s="26" t="s">
        <v>331</v>
      </c>
    </row>
    <row r="207" spans="1:8">
      <c r="A207" s="26" t="s">
        <v>594</v>
      </c>
      <c r="B207" s="28">
        <v>1740</v>
      </c>
      <c r="C207" s="26" t="s">
        <v>328</v>
      </c>
      <c r="D207" s="26" t="s">
        <v>563</v>
      </c>
      <c r="E207" s="28">
        <v>-1069</v>
      </c>
      <c r="F207" s="26" t="s">
        <v>330</v>
      </c>
      <c r="G207" s="28">
        <v>0</v>
      </c>
      <c r="H207" s="26" t="s">
        <v>331</v>
      </c>
    </row>
    <row r="208" spans="1:8">
      <c r="A208" s="26" t="s">
        <v>595</v>
      </c>
      <c r="B208" s="28">
        <v>1958</v>
      </c>
      <c r="C208" s="26" t="s">
        <v>328</v>
      </c>
      <c r="D208" s="26" t="s">
        <v>552</v>
      </c>
      <c r="E208" s="28">
        <v>-1204</v>
      </c>
      <c r="F208" s="26" t="s">
        <v>330</v>
      </c>
      <c r="G208" s="28">
        <v>0</v>
      </c>
      <c r="H208" s="26" t="s">
        <v>331</v>
      </c>
    </row>
    <row r="209" spans="1:8">
      <c r="A209" s="26" t="s">
        <v>596</v>
      </c>
      <c r="B209" s="28">
        <v>2117</v>
      </c>
      <c r="C209" s="26" t="s">
        <v>328</v>
      </c>
      <c r="D209" s="26" t="s">
        <v>552</v>
      </c>
      <c r="E209" s="28">
        <v>-1045</v>
      </c>
      <c r="F209" s="26" t="s">
        <v>330</v>
      </c>
      <c r="G209" s="28">
        <v>0</v>
      </c>
      <c r="H209" s="26" t="s">
        <v>331</v>
      </c>
    </row>
    <row r="210" spans="1:8">
      <c r="A210" s="26" t="s">
        <v>597</v>
      </c>
      <c r="B210" s="28">
        <v>2782</v>
      </c>
      <c r="C210" s="26" t="s">
        <v>328</v>
      </c>
      <c r="D210" s="26" t="s">
        <v>555</v>
      </c>
      <c r="E210" s="28">
        <v>-1896</v>
      </c>
      <c r="F210" s="26" t="s">
        <v>330</v>
      </c>
      <c r="G210" s="28">
        <v>0</v>
      </c>
      <c r="H210" s="26" t="s">
        <v>331</v>
      </c>
    </row>
    <row r="211" spans="1:8">
      <c r="A211" s="26" t="s">
        <v>598</v>
      </c>
      <c r="B211" s="28">
        <v>1720</v>
      </c>
      <c r="C211" s="26" t="s">
        <v>328</v>
      </c>
      <c r="D211" s="26" t="s">
        <v>442</v>
      </c>
      <c r="E211" s="28">
        <v>-378</v>
      </c>
      <c r="F211" s="26" t="s">
        <v>330</v>
      </c>
      <c r="G211" s="28">
        <v>0</v>
      </c>
      <c r="H211" s="26" t="s">
        <v>331</v>
      </c>
    </row>
    <row r="212" spans="1:8">
      <c r="A212" s="26" t="s">
        <v>599</v>
      </c>
      <c r="B212" s="28">
        <v>1720</v>
      </c>
      <c r="C212" s="26" t="s">
        <v>328</v>
      </c>
      <c r="D212" s="26" t="s">
        <v>442</v>
      </c>
      <c r="E212" s="28">
        <v>-378</v>
      </c>
      <c r="F212" s="26" t="s">
        <v>330</v>
      </c>
      <c r="G212" s="28">
        <v>0</v>
      </c>
      <c r="H212" s="26" t="s">
        <v>331</v>
      </c>
    </row>
    <row r="213" spans="1:8">
      <c r="A213" s="26" t="s">
        <v>600</v>
      </c>
      <c r="B213" s="28">
        <v>1881</v>
      </c>
      <c r="C213" s="26" t="s">
        <v>328</v>
      </c>
      <c r="D213" s="26" t="s">
        <v>563</v>
      </c>
      <c r="E213" s="28">
        <v>-928</v>
      </c>
      <c r="F213" s="26" t="s">
        <v>330</v>
      </c>
      <c r="G213" s="28">
        <v>0</v>
      </c>
      <c r="H213" s="26" t="s">
        <v>331</v>
      </c>
    </row>
    <row r="214" spans="1:8">
      <c r="A214" s="26" t="s">
        <v>601</v>
      </c>
      <c r="B214" s="28">
        <v>2782</v>
      </c>
      <c r="C214" s="26" t="s">
        <v>328</v>
      </c>
      <c r="D214" s="26" t="s">
        <v>555</v>
      </c>
      <c r="E214" s="28">
        <v>-1896</v>
      </c>
      <c r="F214" s="26" t="s">
        <v>330</v>
      </c>
      <c r="G214" s="28">
        <v>0</v>
      </c>
      <c r="H214" s="26" t="s">
        <v>331</v>
      </c>
    </row>
    <row r="215" spans="1:8">
      <c r="A215" s="26" t="s">
        <v>602</v>
      </c>
      <c r="B215" s="28">
        <v>1594</v>
      </c>
      <c r="C215" s="26" t="s">
        <v>328</v>
      </c>
      <c r="D215" s="26" t="s">
        <v>345</v>
      </c>
      <c r="E215" s="28">
        <v>-980</v>
      </c>
      <c r="F215" s="26" t="s">
        <v>330</v>
      </c>
      <c r="G215" s="28">
        <v>0</v>
      </c>
      <c r="H215" s="26" t="s">
        <v>331</v>
      </c>
    </row>
    <row r="216" spans="1:8">
      <c r="A216" s="26" t="s">
        <v>603</v>
      </c>
      <c r="B216" s="28">
        <v>1720</v>
      </c>
      <c r="C216" s="26" t="s">
        <v>328</v>
      </c>
      <c r="D216" s="26" t="s">
        <v>442</v>
      </c>
      <c r="E216" s="28">
        <v>-378</v>
      </c>
      <c r="F216" s="26" t="s">
        <v>330</v>
      </c>
      <c r="G216" s="28">
        <v>0</v>
      </c>
      <c r="H216" s="26" t="s">
        <v>331</v>
      </c>
    </row>
    <row r="217" spans="1:8">
      <c r="A217" s="26" t="s">
        <v>604</v>
      </c>
      <c r="B217" s="28">
        <v>2117</v>
      </c>
      <c r="C217" s="26" t="s">
        <v>328</v>
      </c>
      <c r="D217" s="26" t="s">
        <v>552</v>
      </c>
      <c r="E217" s="28">
        <v>-1045</v>
      </c>
      <c r="F217" s="26" t="s">
        <v>330</v>
      </c>
      <c r="G217" s="28">
        <v>0</v>
      </c>
      <c r="H217" s="26" t="s">
        <v>331</v>
      </c>
    </row>
    <row r="218" spans="1:8">
      <c r="A218" s="26" t="s">
        <v>605</v>
      </c>
      <c r="B218" s="28">
        <v>2276</v>
      </c>
      <c r="C218" s="26" t="s">
        <v>328</v>
      </c>
      <c r="D218" s="26" t="s">
        <v>425</v>
      </c>
      <c r="E218" s="28">
        <v>-1122</v>
      </c>
      <c r="F218" s="26" t="s">
        <v>330</v>
      </c>
      <c r="G218" s="28">
        <v>0</v>
      </c>
      <c r="H218" s="26" t="s">
        <v>331</v>
      </c>
    </row>
    <row r="219" spans="1:8">
      <c r="A219" s="26" t="s">
        <v>606</v>
      </c>
      <c r="B219" s="28">
        <v>1720</v>
      </c>
      <c r="C219" s="26" t="s">
        <v>328</v>
      </c>
      <c r="D219" s="26" t="s">
        <v>442</v>
      </c>
      <c r="E219" s="28">
        <v>-378</v>
      </c>
      <c r="F219" s="26" t="s">
        <v>330</v>
      </c>
      <c r="G219" s="28">
        <v>0</v>
      </c>
      <c r="H219" s="26" t="s">
        <v>331</v>
      </c>
    </row>
    <row r="220" spans="1:8">
      <c r="A220" s="26" t="s">
        <v>607</v>
      </c>
      <c r="B220" s="28">
        <v>1540</v>
      </c>
      <c r="C220" s="26" t="s">
        <v>328</v>
      </c>
      <c r="D220" s="26" t="s">
        <v>561</v>
      </c>
      <c r="E220" s="28">
        <v>-946</v>
      </c>
      <c r="F220" s="26" t="s">
        <v>330</v>
      </c>
      <c r="G220" s="28">
        <v>0</v>
      </c>
      <c r="H220" s="26" t="s">
        <v>331</v>
      </c>
    </row>
    <row r="221" spans="1:8">
      <c r="A221" s="26" t="s">
        <v>608</v>
      </c>
      <c r="B221" s="28">
        <v>2688</v>
      </c>
      <c r="C221" s="26" t="s">
        <v>328</v>
      </c>
      <c r="D221" s="26" t="s">
        <v>609</v>
      </c>
      <c r="E221" s="28">
        <v>-1830</v>
      </c>
      <c r="F221" s="26" t="s">
        <v>330</v>
      </c>
      <c r="G221" s="28">
        <v>0</v>
      </c>
      <c r="H221" s="26" t="s">
        <v>331</v>
      </c>
    </row>
    <row r="222" spans="1:8">
      <c r="A222" s="26" t="s">
        <v>610</v>
      </c>
      <c r="B222" s="28">
        <v>2688</v>
      </c>
      <c r="C222" s="26" t="s">
        <v>328</v>
      </c>
      <c r="D222" s="26" t="s">
        <v>609</v>
      </c>
      <c r="E222" s="28">
        <v>-1830</v>
      </c>
      <c r="F222" s="26" t="s">
        <v>330</v>
      </c>
      <c r="G222" s="28">
        <v>0</v>
      </c>
      <c r="H222" s="26" t="s">
        <v>331</v>
      </c>
    </row>
    <row r="223" spans="1:8">
      <c r="A223" s="26" t="s">
        <v>611</v>
      </c>
      <c r="B223" s="28">
        <v>1671</v>
      </c>
      <c r="C223" s="26" t="s">
        <v>328</v>
      </c>
      <c r="D223" s="26" t="s">
        <v>345</v>
      </c>
      <c r="E223" s="28">
        <v>-903</v>
      </c>
      <c r="F223" s="26" t="s">
        <v>330</v>
      </c>
      <c r="G223" s="28">
        <v>0</v>
      </c>
      <c r="H223" s="26" t="s">
        <v>331</v>
      </c>
    </row>
    <row r="224" spans="1:8">
      <c r="A224" s="26" t="s">
        <v>612</v>
      </c>
      <c r="B224" s="28">
        <v>1540</v>
      </c>
      <c r="C224" s="26" t="s">
        <v>328</v>
      </c>
      <c r="D224" s="26" t="s">
        <v>561</v>
      </c>
      <c r="E224" s="28">
        <v>-946</v>
      </c>
      <c r="F224" s="26" t="s">
        <v>330</v>
      </c>
      <c r="G224" s="28">
        <v>0</v>
      </c>
      <c r="H224" s="26" t="s">
        <v>331</v>
      </c>
    </row>
    <row r="225" spans="1:8">
      <c r="A225" s="26" t="s">
        <v>613</v>
      </c>
      <c r="B225" s="28">
        <v>1540</v>
      </c>
      <c r="C225" s="26" t="s">
        <v>328</v>
      </c>
      <c r="D225" s="26" t="s">
        <v>561</v>
      </c>
      <c r="E225" s="28">
        <v>-946</v>
      </c>
      <c r="F225" s="26" t="s">
        <v>330</v>
      </c>
      <c r="G225" s="28">
        <v>0</v>
      </c>
      <c r="H225" s="26" t="s">
        <v>331</v>
      </c>
    </row>
    <row r="226" spans="1:8">
      <c r="A226" s="26" t="s">
        <v>614</v>
      </c>
      <c r="B226" s="28">
        <v>1540</v>
      </c>
      <c r="C226" s="26" t="s">
        <v>328</v>
      </c>
      <c r="D226" s="26" t="s">
        <v>561</v>
      </c>
      <c r="E226" s="28">
        <v>-946</v>
      </c>
      <c r="F226" s="26" t="s">
        <v>330</v>
      </c>
      <c r="G226" s="28">
        <v>0</v>
      </c>
      <c r="H226" s="26" t="s">
        <v>331</v>
      </c>
    </row>
    <row r="227" spans="1:8">
      <c r="A227" s="26" t="s">
        <v>615</v>
      </c>
      <c r="B227" s="28">
        <v>6852</v>
      </c>
      <c r="C227" s="26" t="s">
        <v>328</v>
      </c>
      <c r="D227" s="26" t="s">
        <v>616</v>
      </c>
      <c r="E227" s="28">
        <v>-2344</v>
      </c>
      <c r="F227" s="26" t="s">
        <v>330</v>
      </c>
      <c r="G227" s="28">
        <v>0</v>
      </c>
      <c r="H227" s="26" t="s">
        <v>331</v>
      </c>
    </row>
    <row r="228" spans="1:8">
      <c r="A228" s="26" t="s">
        <v>617</v>
      </c>
      <c r="B228" s="27">
        <v>5376</v>
      </c>
      <c r="C228" s="26" t="s">
        <v>328</v>
      </c>
      <c r="D228" s="26" t="s">
        <v>618</v>
      </c>
      <c r="E228" s="28">
        <v>-3660</v>
      </c>
      <c r="F228" s="26" t="s">
        <v>330</v>
      </c>
      <c r="G228" s="28">
        <v>0</v>
      </c>
      <c r="H228" s="26" t="s">
        <v>331</v>
      </c>
    </row>
    <row r="229" spans="1:8">
      <c r="A229" s="26" t="s">
        <v>619</v>
      </c>
      <c r="B229" s="28">
        <v>1381.56</v>
      </c>
      <c r="C229" s="26" t="s">
        <v>452</v>
      </c>
      <c r="D229" s="26" t="s">
        <v>620</v>
      </c>
      <c r="E229" s="28">
        <v>0</v>
      </c>
      <c r="F229" s="26" t="s">
        <v>330</v>
      </c>
      <c r="G229" s="28">
        <v>0</v>
      </c>
      <c r="H229" s="26" t="s">
        <v>331</v>
      </c>
    </row>
    <row r="230" spans="1:8">
      <c r="B230" s="30">
        <f>SUM(B2:B229)</f>
        <v>449224.56</v>
      </c>
    </row>
    <row r="231" spans="1:8">
      <c r="B231" s="30">
        <f>B230-'[1]7.13-7.19rezen'!H250</f>
        <v>0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theme="8" tint="0.799981688894314"/>
  </sheetPr>
  <dimension ref="A1:B250"/>
  <sheetViews>
    <sheetView workbookViewId="0">
      <selection activeCell="B251" sqref="B251"/>
    </sheetView>
  </sheetViews>
  <sheetFormatPr defaultColWidth="9" defaultRowHeight="14" outlineLevelCol="1"/>
  <cols>
    <col min="1" max="1" width="20" customWidth="1"/>
    <col min="2" max="2" width="11.375" customWidth="1"/>
  </cols>
  <sheetData>
    <row r="1" s="14" customFormat="1" spans="1:2">
      <c r="A1" s="14" t="s">
        <v>55</v>
      </c>
      <c r="B1" s="14" t="s">
        <v>56</v>
      </c>
    </row>
    <row r="2" spans="1:2">
      <c r="A2" t="s">
        <v>621</v>
      </c>
      <c r="B2" s="19">
        <v>5314</v>
      </c>
    </row>
    <row r="3" spans="1:2">
      <c r="A3" t="s">
        <v>381</v>
      </c>
      <c r="B3">
        <v>2927</v>
      </c>
    </row>
    <row r="4" spans="1:2">
      <c r="A4" t="s">
        <v>389</v>
      </c>
      <c r="B4">
        <v>2890</v>
      </c>
    </row>
    <row r="5" spans="1:2">
      <c r="A5" t="s">
        <v>327</v>
      </c>
      <c r="B5" s="19">
        <v>2712</v>
      </c>
    </row>
    <row r="6" spans="1:2">
      <c r="A6" t="s">
        <v>327</v>
      </c>
      <c r="B6" s="19">
        <v>2712</v>
      </c>
    </row>
    <row r="7" spans="1:2">
      <c r="A7" t="s">
        <v>386</v>
      </c>
      <c r="B7">
        <v>2514</v>
      </c>
    </row>
    <row r="8" spans="1:2">
      <c r="A8" t="s">
        <v>391</v>
      </c>
      <c r="B8">
        <v>2407</v>
      </c>
    </row>
    <row r="9" spans="1:2">
      <c r="A9" t="s">
        <v>388</v>
      </c>
      <c r="B9">
        <v>2407</v>
      </c>
    </row>
    <row r="10" spans="1:2">
      <c r="A10" t="s">
        <v>379</v>
      </c>
      <c r="B10">
        <v>2407</v>
      </c>
    </row>
    <row r="11" spans="1:2">
      <c r="A11" s="20" t="s">
        <v>334</v>
      </c>
      <c r="B11">
        <v>1131</v>
      </c>
    </row>
    <row r="12" spans="1:2">
      <c r="A12" t="s">
        <v>355</v>
      </c>
      <c r="B12">
        <v>1131</v>
      </c>
    </row>
    <row r="13" spans="1:2">
      <c r="A13" t="s">
        <v>373</v>
      </c>
      <c r="B13">
        <v>1465</v>
      </c>
    </row>
    <row r="14" spans="1:2">
      <c r="A14" t="s">
        <v>357</v>
      </c>
      <c r="B14">
        <v>1465</v>
      </c>
    </row>
    <row r="15" spans="1:2">
      <c r="A15" t="s">
        <v>347</v>
      </c>
      <c r="B15">
        <v>1465</v>
      </c>
    </row>
    <row r="16" spans="1:2">
      <c r="A16" t="s">
        <v>344</v>
      </c>
      <c r="B16">
        <v>1465</v>
      </c>
    </row>
    <row r="17" spans="1:2">
      <c r="A17" t="s">
        <v>348</v>
      </c>
      <c r="B17">
        <v>1465</v>
      </c>
    </row>
    <row r="18" spans="1:2">
      <c r="A18" t="s">
        <v>361</v>
      </c>
      <c r="B18">
        <v>1426</v>
      </c>
    </row>
    <row r="19" spans="1:2">
      <c r="A19" t="s">
        <v>339</v>
      </c>
      <c r="B19" s="19">
        <v>1264</v>
      </c>
    </row>
    <row r="20" spans="1:2">
      <c r="A20" t="s">
        <v>338</v>
      </c>
      <c r="B20">
        <v>1264</v>
      </c>
    </row>
    <row r="21" spans="1:2">
      <c r="A21" t="s">
        <v>339</v>
      </c>
      <c r="B21" s="19">
        <v>1264</v>
      </c>
    </row>
    <row r="22" spans="1:2">
      <c r="A22" t="s">
        <v>336</v>
      </c>
      <c r="B22">
        <v>1264</v>
      </c>
    </row>
    <row r="23" spans="1:2">
      <c r="A23" t="s">
        <v>356</v>
      </c>
      <c r="B23">
        <v>1264</v>
      </c>
    </row>
    <row r="24" spans="1:2">
      <c r="A24" t="s">
        <v>360</v>
      </c>
      <c r="B24">
        <v>1264</v>
      </c>
    </row>
    <row r="25" spans="1:2">
      <c r="A25" t="s">
        <v>374</v>
      </c>
      <c r="B25">
        <v>1264</v>
      </c>
    </row>
    <row r="26" spans="1:2">
      <c r="A26" t="s">
        <v>350</v>
      </c>
      <c r="B26">
        <v>1131</v>
      </c>
    </row>
    <row r="27" spans="1:2">
      <c r="A27" t="s">
        <v>354</v>
      </c>
      <c r="B27">
        <v>1131</v>
      </c>
    </row>
    <row r="28" spans="1:2">
      <c r="A28" t="s">
        <v>343</v>
      </c>
      <c r="B28">
        <v>1131</v>
      </c>
    </row>
    <row r="29" spans="1:2">
      <c r="A29" t="s">
        <v>363</v>
      </c>
      <c r="B29">
        <v>1131</v>
      </c>
    </row>
    <row r="30" spans="1:2">
      <c r="A30" t="s">
        <v>385</v>
      </c>
      <c r="B30">
        <v>1131</v>
      </c>
    </row>
    <row r="31" spans="1:2">
      <c r="A31" t="s">
        <v>368</v>
      </c>
      <c r="B31">
        <v>1131</v>
      </c>
    </row>
    <row r="32" spans="1:2">
      <c r="A32" t="s">
        <v>372</v>
      </c>
      <c r="B32">
        <v>1131</v>
      </c>
    </row>
    <row r="33" spans="1:2">
      <c r="A33" t="s">
        <v>369</v>
      </c>
      <c r="B33" s="19">
        <v>1131</v>
      </c>
    </row>
    <row r="34" spans="1:2">
      <c r="A34" t="s">
        <v>369</v>
      </c>
      <c r="B34" s="19">
        <v>1131</v>
      </c>
    </row>
    <row r="35" spans="1:2">
      <c r="A35" t="s">
        <v>342</v>
      </c>
      <c r="B35">
        <v>1131</v>
      </c>
    </row>
    <row r="36" spans="1:2">
      <c r="A36" t="s">
        <v>341</v>
      </c>
      <c r="B36">
        <v>1131</v>
      </c>
    </row>
    <row r="37" spans="1:2">
      <c r="A37" t="s">
        <v>346</v>
      </c>
      <c r="B37">
        <v>1131</v>
      </c>
    </row>
    <row r="38" spans="1:2">
      <c r="A38" t="s">
        <v>375</v>
      </c>
      <c r="B38">
        <v>1131</v>
      </c>
    </row>
    <row r="39" spans="1:2">
      <c r="A39" t="s">
        <v>332</v>
      </c>
      <c r="B39">
        <v>1131</v>
      </c>
    </row>
    <row r="40" spans="1:2">
      <c r="A40" t="s">
        <v>371</v>
      </c>
      <c r="B40">
        <v>1131</v>
      </c>
    </row>
    <row r="41" spans="1:2">
      <c r="A41" t="s">
        <v>351</v>
      </c>
      <c r="B41">
        <v>1131</v>
      </c>
    </row>
    <row r="42" spans="1:2">
      <c r="A42" t="s">
        <v>349</v>
      </c>
      <c r="B42">
        <v>1131</v>
      </c>
    </row>
    <row r="43" spans="1:2">
      <c r="A43" t="s">
        <v>376</v>
      </c>
      <c r="B43">
        <v>1131</v>
      </c>
    </row>
    <row r="44" spans="1:2">
      <c r="A44" s="20" t="s">
        <v>334</v>
      </c>
      <c r="B44">
        <v>1131</v>
      </c>
    </row>
    <row r="45" spans="1:2">
      <c r="A45" t="s">
        <v>365</v>
      </c>
      <c r="B45">
        <v>1131</v>
      </c>
    </row>
    <row r="46" spans="1:2">
      <c r="A46" t="s">
        <v>378</v>
      </c>
      <c r="B46">
        <v>1092</v>
      </c>
    </row>
    <row r="47" spans="1:2">
      <c r="A47" t="s">
        <v>383</v>
      </c>
      <c r="B47">
        <v>1092</v>
      </c>
    </row>
    <row r="48" spans="1:2">
      <c r="A48" t="s">
        <v>352</v>
      </c>
      <c r="B48">
        <v>1092</v>
      </c>
    </row>
    <row r="49" spans="1:2">
      <c r="A49" t="s">
        <v>377</v>
      </c>
      <c r="B49">
        <v>1092</v>
      </c>
    </row>
    <row r="50" spans="1:2">
      <c r="A50" t="s">
        <v>384</v>
      </c>
      <c r="B50">
        <v>1092</v>
      </c>
    </row>
    <row r="51" spans="1:2">
      <c r="A51" t="s">
        <v>387</v>
      </c>
      <c r="B51">
        <v>1092</v>
      </c>
    </row>
    <row r="52" spans="1:2">
      <c r="A52" t="s">
        <v>364</v>
      </c>
      <c r="B52">
        <v>1131</v>
      </c>
    </row>
    <row r="53" spans="1:2">
      <c r="A53" t="s">
        <v>366</v>
      </c>
      <c r="B53">
        <v>1000</v>
      </c>
    </row>
    <row r="54" spans="1:2">
      <c r="A54" s="20" t="s">
        <v>334</v>
      </c>
      <c r="B54">
        <v>1131</v>
      </c>
    </row>
    <row r="55" spans="1:2">
      <c r="A55" t="s">
        <v>397</v>
      </c>
      <c r="B55">
        <v>2776</v>
      </c>
    </row>
    <row r="56" spans="1:2">
      <c r="A56" t="s">
        <v>403</v>
      </c>
      <c r="B56">
        <v>2350</v>
      </c>
    </row>
    <row r="57" spans="1:2">
      <c r="A57" t="s">
        <v>409</v>
      </c>
      <c r="B57">
        <v>2142</v>
      </c>
    </row>
    <row r="58" spans="1:2">
      <c r="A58" t="s">
        <v>401</v>
      </c>
      <c r="B58">
        <v>2142</v>
      </c>
    </row>
    <row r="59" spans="1:2">
      <c r="A59" t="s">
        <v>400</v>
      </c>
      <c r="B59">
        <v>2142</v>
      </c>
    </row>
    <row r="60" spans="1:2">
      <c r="A60" t="s">
        <v>396</v>
      </c>
      <c r="B60">
        <v>1465</v>
      </c>
    </row>
    <row r="61" spans="1:2">
      <c r="A61" t="s">
        <v>408</v>
      </c>
      <c r="B61">
        <v>1465</v>
      </c>
    </row>
    <row r="62" spans="1:2">
      <c r="A62" t="s">
        <v>407</v>
      </c>
      <c r="B62">
        <v>1465</v>
      </c>
    </row>
    <row r="63" spans="1:2">
      <c r="A63" t="s">
        <v>402</v>
      </c>
      <c r="B63">
        <v>1264</v>
      </c>
    </row>
    <row r="64" spans="1:2">
      <c r="A64" t="s">
        <v>394</v>
      </c>
      <c r="B64">
        <v>1264</v>
      </c>
    </row>
    <row r="65" spans="1:2">
      <c r="A65" t="s">
        <v>405</v>
      </c>
      <c r="B65">
        <v>1131</v>
      </c>
    </row>
    <row r="66" spans="1:2">
      <c r="A66" t="s">
        <v>399</v>
      </c>
      <c r="B66">
        <v>1131</v>
      </c>
    </row>
    <row r="67" spans="1:2">
      <c r="A67" t="s">
        <v>411</v>
      </c>
      <c r="B67">
        <v>1131</v>
      </c>
    </row>
    <row r="68" spans="1:2">
      <c r="A68" t="s">
        <v>410</v>
      </c>
      <c r="B68">
        <v>1131</v>
      </c>
    </row>
    <row r="69" spans="1:2">
      <c r="A69" t="s">
        <v>395</v>
      </c>
      <c r="B69">
        <v>1131</v>
      </c>
    </row>
    <row r="70" spans="1:2">
      <c r="A70" t="s">
        <v>392</v>
      </c>
      <c r="B70">
        <v>999</v>
      </c>
    </row>
    <row r="71" spans="1:2">
      <c r="A71" t="s">
        <v>406</v>
      </c>
      <c r="B71">
        <v>999</v>
      </c>
    </row>
    <row r="72" spans="1:2">
      <c r="A72" t="s">
        <v>413</v>
      </c>
      <c r="B72">
        <v>4164</v>
      </c>
    </row>
    <row r="73" spans="1:2">
      <c r="A73" t="s">
        <v>421</v>
      </c>
      <c r="B73">
        <v>3213</v>
      </c>
    </row>
    <row r="74" spans="1:2">
      <c r="A74" t="s">
        <v>419</v>
      </c>
      <c r="B74">
        <v>3213</v>
      </c>
    </row>
    <row r="75" spans="1:2">
      <c r="A75" t="s">
        <v>431</v>
      </c>
      <c r="B75">
        <v>2394</v>
      </c>
    </row>
    <row r="76" spans="1:2">
      <c r="A76" t="s">
        <v>432</v>
      </c>
      <c r="B76">
        <v>2378</v>
      </c>
    </row>
    <row r="77" spans="1:2">
      <c r="A77" t="s">
        <v>417</v>
      </c>
      <c r="B77" s="19">
        <v>2328</v>
      </c>
    </row>
    <row r="78" spans="1:2">
      <c r="A78" t="s">
        <v>417</v>
      </c>
      <c r="B78" s="19">
        <v>2328</v>
      </c>
    </row>
    <row r="79" spans="1:2">
      <c r="A79" t="s">
        <v>423</v>
      </c>
      <c r="B79">
        <v>2142</v>
      </c>
    </row>
    <row r="80" spans="1:2">
      <c r="A80" t="s">
        <v>435</v>
      </c>
      <c r="B80">
        <v>2142</v>
      </c>
    </row>
    <row r="81" spans="1:2">
      <c r="A81" t="s">
        <v>420</v>
      </c>
      <c r="B81">
        <v>2142</v>
      </c>
    </row>
    <row r="82" spans="1:2">
      <c r="A82" t="s">
        <v>440</v>
      </c>
      <c r="B82">
        <v>2142</v>
      </c>
    </row>
    <row r="83" spans="1:2">
      <c r="A83" t="s">
        <v>424</v>
      </c>
      <c r="B83">
        <v>1936</v>
      </c>
    </row>
    <row r="84" spans="1:2">
      <c r="A84" t="s">
        <v>427</v>
      </c>
      <c r="B84">
        <v>1419</v>
      </c>
    </row>
    <row r="85" spans="1:2">
      <c r="A85" t="s">
        <v>430</v>
      </c>
      <c r="B85">
        <v>1264</v>
      </c>
    </row>
    <row r="86" spans="1:2">
      <c r="A86" t="s">
        <v>422</v>
      </c>
      <c r="B86">
        <v>1131</v>
      </c>
    </row>
    <row r="87" spans="1:2">
      <c r="A87" t="s">
        <v>465</v>
      </c>
      <c r="B87">
        <v>1131</v>
      </c>
    </row>
    <row r="88" spans="1:2">
      <c r="A88" t="s">
        <v>412</v>
      </c>
      <c r="B88">
        <v>1131</v>
      </c>
    </row>
    <row r="89" spans="1:2">
      <c r="A89" t="s">
        <v>415</v>
      </c>
      <c r="B89">
        <v>1131</v>
      </c>
    </row>
    <row r="90" spans="1:2">
      <c r="A90" t="s">
        <v>438</v>
      </c>
      <c r="B90">
        <v>1131</v>
      </c>
    </row>
    <row r="91" spans="1:2">
      <c r="A91" t="s">
        <v>439</v>
      </c>
      <c r="B91">
        <v>1131</v>
      </c>
    </row>
    <row r="92" spans="1:2">
      <c r="A92" t="s">
        <v>461</v>
      </c>
      <c r="B92" s="19">
        <v>1071</v>
      </c>
    </row>
    <row r="93" spans="1:2">
      <c r="A93" t="s">
        <v>461</v>
      </c>
      <c r="B93" s="19">
        <v>1071</v>
      </c>
    </row>
    <row r="94" spans="1:2">
      <c r="A94" t="s">
        <v>448</v>
      </c>
      <c r="B94" s="21">
        <v>1071</v>
      </c>
    </row>
    <row r="95" spans="1:2">
      <c r="A95" t="s">
        <v>448</v>
      </c>
      <c r="B95" s="21">
        <v>1071</v>
      </c>
    </row>
    <row r="96" spans="1:2">
      <c r="A96" t="s">
        <v>448</v>
      </c>
      <c r="B96" s="21">
        <v>1071</v>
      </c>
    </row>
    <row r="97" spans="1:2">
      <c r="A97" t="s">
        <v>434</v>
      </c>
      <c r="B97">
        <v>1000</v>
      </c>
    </row>
    <row r="98" spans="1:2">
      <c r="A98" t="s">
        <v>429</v>
      </c>
      <c r="B98">
        <v>1000</v>
      </c>
    </row>
    <row r="99" spans="1:2">
      <c r="A99" t="s">
        <v>426</v>
      </c>
      <c r="B99">
        <v>999</v>
      </c>
    </row>
    <row r="100" spans="1:2">
      <c r="A100" t="s">
        <v>416</v>
      </c>
      <c r="B100">
        <v>999</v>
      </c>
    </row>
    <row r="101" spans="1:2">
      <c r="A101" t="s">
        <v>458</v>
      </c>
      <c r="B101" s="19">
        <v>2394</v>
      </c>
    </row>
    <row r="102" spans="1:2">
      <c r="A102" t="s">
        <v>443</v>
      </c>
      <c r="B102">
        <v>5778</v>
      </c>
    </row>
    <row r="103" spans="1:2">
      <c r="A103" t="s">
        <v>66</v>
      </c>
      <c r="B103">
        <v>1189</v>
      </c>
    </row>
    <row r="104" spans="1:2">
      <c r="A104" t="s">
        <v>460</v>
      </c>
      <c r="B104">
        <v>3591</v>
      </c>
    </row>
    <row r="105" spans="1:2">
      <c r="A105" t="s">
        <v>454</v>
      </c>
      <c r="B105" s="19">
        <v>3591</v>
      </c>
    </row>
    <row r="106" spans="1:2">
      <c r="A106" t="s">
        <v>454</v>
      </c>
      <c r="B106" s="19">
        <v>3591</v>
      </c>
    </row>
    <row r="107" spans="1:2">
      <c r="A107" t="s">
        <v>454</v>
      </c>
      <c r="B107" s="19">
        <v>3591</v>
      </c>
    </row>
    <row r="108" spans="1:2">
      <c r="A108" t="s">
        <v>454</v>
      </c>
      <c r="B108" s="19">
        <v>3591</v>
      </c>
    </row>
    <row r="109" spans="1:2">
      <c r="A109" t="s">
        <v>454</v>
      </c>
      <c r="B109" s="19">
        <v>3591</v>
      </c>
    </row>
    <row r="110" spans="1:2">
      <c r="A110" t="s">
        <v>456</v>
      </c>
      <c r="B110">
        <v>3591</v>
      </c>
    </row>
    <row r="111" spans="1:2">
      <c r="A111" t="s">
        <v>441</v>
      </c>
      <c r="B111">
        <v>2098</v>
      </c>
    </row>
    <row r="112" spans="1:2">
      <c r="A112" t="s">
        <v>471</v>
      </c>
      <c r="B112">
        <v>2000</v>
      </c>
    </row>
    <row r="113" spans="1:2">
      <c r="A113" t="s">
        <v>445</v>
      </c>
      <c r="B113">
        <v>1998</v>
      </c>
    </row>
    <row r="114" spans="1:2">
      <c r="A114" t="s">
        <v>474</v>
      </c>
      <c r="B114" s="19">
        <v>1264</v>
      </c>
    </row>
    <row r="115" spans="1:2">
      <c r="A115" t="s">
        <v>474</v>
      </c>
      <c r="B115" s="19">
        <v>1264</v>
      </c>
    </row>
    <row r="116" spans="1:2">
      <c r="A116" t="s">
        <v>469</v>
      </c>
      <c r="B116">
        <v>1264</v>
      </c>
    </row>
    <row r="117" spans="1:2">
      <c r="A117" t="s">
        <v>447</v>
      </c>
      <c r="B117">
        <v>1131</v>
      </c>
    </row>
    <row r="118" spans="1:2">
      <c r="A118" t="s">
        <v>453</v>
      </c>
      <c r="B118">
        <v>1131</v>
      </c>
    </row>
    <row r="119" spans="1:2">
      <c r="A119" t="s">
        <v>470</v>
      </c>
      <c r="B119">
        <v>1131</v>
      </c>
    </row>
    <row r="120" spans="1:2">
      <c r="A120" t="s">
        <v>468</v>
      </c>
      <c r="B120">
        <v>1131</v>
      </c>
    </row>
    <row r="121" spans="1:2">
      <c r="A121" t="s">
        <v>473</v>
      </c>
      <c r="B121">
        <v>1131</v>
      </c>
    </row>
    <row r="122" spans="1:2">
      <c r="A122" t="s">
        <v>467</v>
      </c>
      <c r="B122">
        <v>1131</v>
      </c>
    </row>
    <row r="123" spans="1:2">
      <c r="A123" t="s">
        <v>466</v>
      </c>
      <c r="B123">
        <v>1131</v>
      </c>
    </row>
    <row r="124" spans="1:2">
      <c r="A124" t="s">
        <v>464</v>
      </c>
      <c r="B124">
        <v>1131</v>
      </c>
    </row>
    <row r="125" spans="1:2">
      <c r="A125" t="s">
        <v>477</v>
      </c>
      <c r="B125" s="19">
        <v>1092</v>
      </c>
    </row>
    <row r="126" spans="1:2">
      <c r="A126" t="s">
        <v>477</v>
      </c>
      <c r="B126" s="19">
        <v>1092</v>
      </c>
    </row>
    <row r="127" spans="1:2">
      <c r="A127" t="s">
        <v>476</v>
      </c>
      <c r="B127">
        <v>1092</v>
      </c>
    </row>
    <row r="128" spans="1:2">
      <c r="A128" t="s">
        <v>475</v>
      </c>
      <c r="B128">
        <v>1092</v>
      </c>
    </row>
    <row r="129" spans="1:2">
      <c r="A129" t="s">
        <v>504</v>
      </c>
      <c r="B129">
        <v>5940</v>
      </c>
    </row>
    <row r="130" spans="1:2">
      <c r="A130" t="s">
        <v>622</v>
      </c>
      <c r="B130" s="19">
        <v>2394</v>
      </c>
    </row>
    <row r="131" spans="1:2">
      <c r="A131" t="s">
        <v>489</v>
      </c>
      <c r="B131">
        <v>2394</v>
      </c>
    </row>
    <row r="132" spans="1:2">
      <c r="A132" t="s">
        <v>501</v>
      </c>
      <c r="B132">
        <v>2394</v>
      </c>
    </row>
    <row r="133" spans="1:2">
      <c r="A133" t="s">
        <v>498</v>
      </c>
      <c r="B133">
        <v>2394</v>
      </c>
    </row>
    <row r="134" spans="1:2">
      <c r="A134" t="s">
        <v>497</v>
      </c>
      <c r="B134">
        <v>2142</v>
      </c>
    </row>
    <row r="135" spans="1:2">
      <c r="A135" t="s">
        <v>487</v>
      </c>
      <c r="B135">
        <v>1465</v>
      </c>
    </row>
    <row r="136" spans="1:2">
      <c r="A136" t="s">
        <v>496</v>
      </c>
      <c r="B136">
        <v>1465</v>
      </c>
    </row>
    <row r="137" spans="1:2">
      <c r="A137" t="s">
        <v>503</v>
      </c>
      <c r="B137">
        <v>1465</v>
      </c>
    </row>
    <row r="138" spans="1:2">
      <c r="A138" t="s">
        <v>482</v>
      </c>
      <c r="B138">
        <v>1465</v>
      </c>
    </row>
    <row r="139" spans="1:2">
      <c r="A139" t="s">
        <v>486</v>
      </c>
      <c r="B139">
        <v>1419</v>
      </c>
    </row>
    <row r="140" spans="1:2">
      <c r="A140" t="s">
        <v>485</v>
      </c>
      <c r="B140">
        <v>1264</v>
      </c>
    </row>
    <row r="141" spans="1:2">
      <c r="A141" t="s">
        <v>484</v>
      </c>
      <c r="B141">
        <v>1264</v>
      </c>
    </row>
    <row r="142" spans="1:2">
      <c r="A142" t="s">
        <v>500</v>
      </c>
      <c r="B142">
        <v>1264</v>
      </c>
    </row>
    <row r="143" spans="1:2">
      <c r="A143" t="s">
        <v>479</v>
      </c>
      <c r="B143">
        <v>1264</v>
      </c>
    </row>
    <row r="144" spans="1:2">
      <c r="A144" t="s">
        <v>492</v>
      </c>
      <c r="B144">
        <v>1131</v>
      </c>
    </row>
    <row r="145" spans="1:2">
      <c r="A145" t="s">
        <v>502</v>
      </c>
      <c r="B145" s="19">
        <v>1131</v>
      </c>
    </row>
    <row r="146" spans="1:2">
      <c r="A146" t="s">
        <v>502</v>
      </c>
      <c r="B146" s="19">
        <v>1131</v>
      </c>
    </row>
    <row r="147" spans="1:2">
      <c r="A147" t="s">
        <v>483</v>
      </c>
      <c r="B147" s="19">
        <v>1131</v>
      </c>
    </row>
    <row r="148" spans="1:2">
      <c r="A148" t="s">
        <v>483</v>
      </c>
      <c r="B148" s="19">
        <v>1131</v>
      </c>
    </row>
    <row r="149" spans="1:2">
      <c r="A149" t="s">
        <v>488</v>
      </c>
      <c r="B149">
        <v>1131</v>
      </c>
    </row>
    <row r="150" spans="1:2">
      <c r="A150" t="s">
        <v>480</v>
      </c>
      <c r="B150">
        <v>1131</v>
      </c>
    </row>
    <row r="151" spans="1:2">
      <c r="A151" t="s">
        <v>491</v>
      </c>
      <c r="B151">
        <v>999</v>
      </c>
    </row>
    <row r="152" spans="1:2">
      <c r="A152" t="s">
        <v>490</v>
      </c>
      <c r="B152">
        <v>999</v>
      </c>
    </row>
    <row r="153" spans="1:2">
      <c r="A153" t="s">
        <v>499</v>
      </c>
      <c r="B153">
        <v>999</v>
      </c>
    </row>
    <row r="154" spans="1:2">
      <c r="A154" t="s">
        <v>493</v>
      </c>
      <c r="B154" s="19">
        <v>1189</v>
      </c>
    </row>
    <row r="155" spans="1:2">
      <c r="A155" t="s">
        <v>537</v>
      </c>
      <c r="B155" s="19">
        <v>2975</v>
      </c>
    </row>
    <row r="156" spans="1:2">
      <c r="A156" t="s">
        <v>537</v>
      </c>
      <c r="B156" s="19">
        <v>2975</v>
      </c>
    </row>
    <row r="157" spans="1:2">
      <c r="A157" t="s">
        <v>507</v>
      </c>
      <c r="B157">
        <v>2975</v>
      </c>
    </row>
    <row r="158" spans="1:2">
      <c r="A158" t="s">
        <v>543</v>
      </c>
      <c r="B158">
        <v>2905</v>
      </c>
    </row>
    <row r="159" spans="1:2">
      <c r="A159" t="s">
        <v>529</v>
      </c>
      <c r="B159" s="19">
        <v>2649</v>
      </c>
    </row>
    <row r="160" spans="1:2">
      <c r="A160" t="s">
        <v>533</v>
      </c>
      <c r="B160">
        <v>2469</v>
      </c>
    </row>
    <row r="161" spans="1:2">
      <c r="A161" t="s">
        <v>535</v>
      </c>
      <c r="B161">
        <v>2311</v>
      </c>
    </row>
    <row r="162" spans="1:2">
      <c r="A162" t="s">
        <v>524</v>
      </c>
      <c r="B162">
        <v>2311</v>
      </c>
    </row>
    <row r="163" spans="1:2">
      <c r="A163" t="s">
        <v>511</v>
      </c>
      <c r="B163">
        <v>2311</v>
      </c>
    </row>
    <row r="164" spans="1:2">
      <c r="A164" t="s">
        <v>522</v>
      </c>
      <c r="B164">
        <v>2311</v>
      </c>
    </row>
    <row r="165" spans="1:2">
      <c r="A165" t="s">
        <v>546</v>
      </c>
      <c r="B165">
        <v>2232</v>
      </c>
    </row>
    <row r="166" spans="1:2">
      <c r="A166" t="s">
        <v>550</v>
      </c>
      <c r="B166">
        <v>2232</v>
      </c>
    </row>
    <row r="167" spans="1:2">
      <c r="A167" t="s">
        <v>541</v>
      </c>
      <c r="B167" s="19">
        <v>2232</v>
      </c>
    </row>
    <row r="168" spans="1:2">
      <c r="A168" t="s">
        <v>541</v>
      </c>
      <c r="B168" s="19">
        <v>2232</v>
      </c>
    </row>
    <row r="169" spans="1:2">
      <c r="A169" t="s">
        <v>548</v>
      </c>
      <c r="B169" s="19">
        <v>1813</v>
      </c>
    </row>
    <row r="170" spans="1:2">
      <c r="A170" t="s">
        <v>516</v>
      </c>
      <c r="B170">
        <v>1813</v>
      </c>
    </row>
    <row r="171" spans="1:2">
      <c r="A171" t="s">
        <v>526</v>
      </c>
      <c r="B171">
        <v>1588</v>
      </c>
    </row>
    <row r="172" spans="1:2">
      <c r="A172" t="s">
        <v>509</v>
      </c>
      <c r="B172" s="19">
        <v>1588</v>
      </c>
    </row>
    <row r="173" spans="1:2">
      <c r="A173" t="s">
        <v>509</v>
      </c>
      <c r="B173" s="19">
        <v>1588</v>
      </c>
    </row>
    <row r="174" spans="1:2">
      <c r="A174" t="s">
        <v>548</v>
      </c>
      <c r="B174" s="19">
        <v>1813</v>
      </c>
    </row>
    <row r="175" spans="1:2">
      <c r="A175" t="s">
        <v>520</v>
      </c>
      <c r="B175">
        <v>1668</v>
      </c>
    </row>
    <row r="176" spans="1:2">
      <c r="A176" t="s">
        <v>531</v>
      </c>
      <c r="B176">
        <v>1449</v>
      </c>
    </row>
    <row r="177" spans="1:2">
      <c r="A177" t="s">
        <v>505</v>
      </c>
      <c r="B177">
        <v>1438</v>
      </c>
    </row>
    <row r="178" spans="1:2">
      <c r="A178" t="s">
        <v>519</v>
      </c>
      <c r="B178">
        <v>1303</v>
      </c>
    </row>
    <row r="179" spans="1:2">
      <c r="A179" t="s">
        <v>513</v>
      </c>
      <c r="B179">
        <v>1303</v>
      </c>
    </row>
    <row r="180" spans="1:2">
      <c r="A180" t="s">
        <v>528</v>
      </c>
      <c r="B180">
        <v>1303</v>
      </c>
    </row>
    <row r="181" spans="1:2">
      <c r="A181" t="s">
        <v>536</v>
      </c>
      <c r="B181">
        <v>1303</v>
      </c>
    </row>
    <row r="182" spans="1:2">
      <c r="A182" t="s">
        <v>525</v>
      </c>
      <c r="B182">
        <v>1303</v>
      </c>
    </row>
    <row r="183" spans="1:2">
      <c r="A183" t="s">
        <v>515</v>
      </c>
      <c r="B183">
        <v>1303</v>
      </c>
    </row>
    <row r="184" spans="1:2">
      <c r="A184" t="s">
        <v>518</v>
      </c>
      <c r="B184">
        <v>1303</v>
      </c>
    </row>
    <row r="185" spans="1:2">
      <c r="A185" t="s">
        <v>523</v>
      </c>
      <c r="B185">
        <v>1303</v>
      </c>
    </row>
    <row r="186" spans="1:2">
      <c r="A186" t="s">
        <v>539</v>
      </c>
      <c r="B186">
        <v>1258</v>
      </c>
    </row>
    <row r="187" spans="1:2">
      <c r="A187" t="s">
        <v>544</v>
      </c>
      <c r="B187" s="19">
        <v>1258</v>
      </c>
    </row>
    <row r="188" spans="1:2">
      <c r="A188" t="s">
        <v>544</v>
      </c>
      <c r="B188" s="19">
        <v>1258</v>
      </c>
    </row>
    <row r="189" spans="1:2">
      <c r="A189" t="s">
        <v>544</v>
      </c>
      <c r="B189" s="19">
        <v>1258</v>
      </c>
    </row>
    <row r="190" spans="1:2">
      <c r="A190" t="s">
        <v>615</v>
      </c>
      <c r="B190">
        <v>6852</v>
      </c>
    </row>
    <row r="191" spans="1:2">
      <c r="A191" t="s">
        <v>573</v>
      </c>
      <c r="B191">
        <v>3853</v>
      </c>
    </row>
    <row r="192" spans="1:2">
      <c r="A192" t="s">
        <v>575</v>
      </c>
      <c r="B192">
        <v>3853</v>
      </c>
    </row>
    <row r="193" spans="1:2">
      <c r="A193" t="s">
        <v>587</v>
      </c>
      <c r="B193">
        <v>3260</v>
      </c>
    </row>
    <row r="194" spans="1:2">
      <c r="A194" t="s">
        <v>592</v>
      </c>
      <c r="B194">
        <v>2963</v>
      </c>
    </row>
    <row r="195" spans="1:2">
      <c r="A195" t="s">
        <v>588</v>
      </c>
      <c r="B195">
        <v>2963</v>
      </c>
    </row>
    <row r="196" spans="1:2">
      <c r="A196" t="s">
        <v>582</v>
      </c>
      <c r="B196">
        <v>2963</v>
      </c>
    </row>
    <row r="197" spans="1:2">
      <c r="A197" t="s">
        <v>554</v>
      </c>
      <c r="B197">
        <v>2963</v>
      </c>
    </row>
    <row r="198" spans="1:2">
      <c r="A198" t="s">
        <v>597</v>
      </c>
      <c r="B198">
        <v>2782</v>
      </c>
    </row>
    <row r="199" spans="1:2">
      <c r="A199" t="s">
        <v>578</v>
      </c>
      <c r="B199">
        <v>2782</v>
      </c>
    </row>
    <row r="200" spans="1:2">
      <c r="A200" t="s">
        <v>590</v>
      </c>
      <c r="B200">
        <v>2782</v>
      </c>
    </row>
    <row r="201" spans="1:2">
      <c r="A201" t="s">
        <v>601</v>
      </c>
      <c r="B201">
        <v>2782</v>
      </c>
    </row>
    <row r="202" spans="1:2">
      <c r="A202" t="s">
        <v>571</v>
      </c>
      <c r="B202">
        <v>2782</v>
      </c>
    </row>
    <row r="203" spans="1:2">
      <c r="A203" t="s">
        <v>610</v>
      </c>
      <c r="B203">
        <v>2688</v>
      </c>
    </row>
    <row r="204" spans="1:2">
      <c r="A204" t="s">
        <v>608</v>
      </c>
      <c r="B204">
        <v>2688</v>
      </c>
    </row>
    <row r="205" spans="1:2">
      <c r="A205" t="s">
        <v>617</v>
      </c>
      <c r="B205" s="19">
        <v>2688</v>
      </c>
    </row>
    <row r="206" spans="1:2">
      <c r="A206" t="s">
        <v>617</v>
      </c>
      <c r="B206" s="19">
        <v>2688</v>
      </c>
    </row>
    <row r="207" spans="1:2">
      <c r="A207" t="s">
        <v>580</v>
      </c>
      <c r="B207">
        <v>2470</v>
      </c>
    </row>
    <row r="208" spans="1:2">
      <c r="A208" t="s">
        <v>605</v>
      </c>
      <c r="B208">
        <v>2276</v>
      </c>
    </row>
    <row r="209" spans="1:2">
      <c r="A209" t="s">
        <v>596</v>
      </c>
      <c r="B209">
        <v>2117</v>
      </c>
    </row>
    <row r="210" spans="1:2">
      <c r="A210" t="s">
        <v>604</v>
      </c>
      <c r="B210">
        <v>2117</v>
      </c>
    </row>
    <row r="211" spans="1:2">
      <c r="A211" t="s">
        <v>579</v>
      </c>
      <c r="B211">
        <v>2106</v>
      </c>
    </row>
    <row r="212" spans="1:2">
      <c r="A212" t="s">
        <v>595</v>
      </c>
      <c r="B212">
        <v>1958</v>
      </c>
    </row>
    <row r="213" spans="1:2">
      <c r="A213" t="s">
        <v>556</v>
      </c>
      <c r="B213" s="19">
        <v>1958</v>
      </c>
    </row>
    <row r="214" spans="1:2">
      <c r="A214" t="s">
        <v>556</v>
      </c>
      <c r="B214" s="19">
        <v>1958</v>
      </c>
    </row>
    <row r="215" spans="1:2">
      <c r="A215" t="s">
        <v>591</v>
      </c>
      <c r="B215">
        <v>1958</v>
      </c>
    </row>
    <row r="216" spans="1:2">
      <c r="A216" t="s">
        <v>551</v>
      </c>
      <c r="B216">
        <v>1958</v>
      </c>
    </row>
    <row r="217" spans="1:2">
      <c r="A217" t="s">
        <v>564</v>
      </c>
      <c r="B217">
        <v>1594</v>
      </c>
    </row>
    <row r="218" spans="1:2">
      <c r="A218" t="s">
        <v>568</v>
      </c>
      <c r="B218">
        <v>1594</v>
      </c>
    </row>
    <row r="219" spans="1:2">
      <c r="A219" t="s">
        <v>565</v>
      </c>
      <c r="B219">
        <v>1887</v>
      </c>
    </row>
    <row r="220" spans="1:2">
      <c r="A220" t="s">
        <v>576</v>
      </c>
      <c r="B220">
        <v>1881</v>
      </c>
    </row>
    <row r="221" spans="1:2">
      <c r="A221" t="s">
        <v>600</v>
      </c>
      <c r="B221">
        <v>1881</v>
      </c>
    </row>
    <row r="222" spans="1:2">
      <c r="A222" t="s">
        <v>586</v>
      </c>
      <c r="B222">
        <v>1795</v>
      </c>
    </row>
    <row r="223" spans="1:2">
      <c r="A223" t="s">
        <v>594</v>
      </c>
      <c r="B223">
        <v>1740</v>
      </c>
    </row>
    <row r="224" spans="1:2">
      <c r="A224" t="s">
        <v>593</v>
      </c>
      <c r="B224">
        <v>1740</v>
      </c>
    </row>
    <row r="225" spans="1:2">
      <c r="A225" t="s">
        <v>559</v>
      </c>
      <c r="B225">
        <v>1594</v>
      </c>
    </row>
    <row r="226" spans="1:2">
      <c r="A226" t="s">
        <v>562</v>
      </c>
      <c r="B226">
        <v>1740</v>
      </c>
    </row>
    <row r="227" spans="1:2">
      <c r="A227" t="s">
        <v>572</v>
      </c>
      <c r="B227">
        <v>1720</v>
      </c>
    </row>
    <row r="228" spans="1:2">
      <c r="A228" t="s">
        <v>585</v>
      </c>
      <c r="B228">
        <v>1665</v>
      </c>
    </row>
    <row r="229" spans="1:2">
      <c r="A229" t="s">
        <v>606</v>
      </c>
      <c r="B229">
        <v>1720</v>
      </c>
    </row>
    <row r="230" spans="1:2">
      <c r="A230" t="s">
        <v>599</v>
      </c>
      <c r="B230">
        <v>1720</v>
      </c>
    </row>
    <row r="231" spans="1:2">
      <c r="A231" t="s">
        <v>603</v>
      </c>
      <c r="B231">
        <v>1720</v>
      </c>
    </row>
    <row r="232" spans="1:2">
      <c r="A232" t="s">
        <v>598</v>
      </c>
      <c r="B232">
        <v>1720</v>
      </c>
    </row>
    <row r="233" spans="1:2">
      <c r="A233" t="s">
        <v>583</v>
      </c>
      <c r="B233" s="19">
        <v>1720</v>
      </c>
    </row>
    <row r="234" spans="1:2">
      <c r="A234" t="s">
        <v>583</v>
      </c>
      <c r="B234" s="19">
        <v>1720</v>
      </c>
    </row>
    <row r="235" spans="1:2">
      <c r="A235" t="s">
        <v>558</v>
      </c>
      <c r="B235">
        <v>1720</v>
      </c>
    </row>
    <row r="236" spans="1:2">
      <c r="A236" t="s">
        <v>611</v>
      </c>
      <c r="B236">
        <v>1671</v>
      </c>
    </row>
    <row r="237" spans="1:2">
      <c r="A237" t="s">
        <v>553</v>
      </c>
      <c r="B237">
        <v>1594</v>
      </c>
    </row>
    <row r="238" spans="1:2">
      <c r="A238" t="s">
        <v>570</v>
      </c>
      <c r="B238">
        <v>1594</v>
      </c>
    </row>
    <row r="239" spans="1:2">
      <c r="A239" t="s">
        <v>602</v>
      </c>
      <c r="B239">
        <v>1594</v>
      </c>
    </row>
    <row r="240" spans="1:2">
      <c r="A240" t="s">
        <v>567</v>
      </c>
      <c r="B240">
        <v>1594</v>
      </c>
    </row>
    <row r="241" spans="1:2">
      <c r="A241" t="s">
        <v>577</v>
      </c>
      <c r="B241">
        <v>1594</v>
      </c>
    </row>
    <row r="242" spans="1:2">
      <c r="A242" t="s">
        <v>589</v>
      </c>
      <c r="B242">
        <v>1594</v>
      </c>
    </row>
    <row r="243" spans="1:2">
      <c r="A243" t="s">
        <v>569</v>
      </c>
      <c r="B243">
        <v>1540</v>
      </c>
    </row>
    <row r="244" spans="1:2">
      <c r="A244" t="s">
        <v>607</v>
      </c>
      <c r="B244">
        <v>1540</v>
      </c>
    </row>
    <row r="245" spans="1:2">
      <c r="A245" t="s">
        <v>560</v>
      </c>
      <c r="B245">
        <v>1540</v>
      </c>
    </row>
    <row r="246" spans="1:2">
      <c r="A246" t="s">
        <v>614</v>
      </c>
      <c r="B246">
        <v>1540</v>
      </c>
    </row>
    <row r="247" spans="1:2">
      <c r="A247" t="s">
        <v>613</v>
      </c>
      <c r="B247">
        <v>1540</v>
      </c>
    </row>
    <row r="248" spans="1:2">
      <c r="A248" t="s">
        <v>612</v>
      </c>
      <c r="B248">
        <v>1540</v>
      </c>
    </row>
    <row r="249" spans="1:2">
      <c r="A249" t="s">
        <v>619</v>
      </c>
      <c r="B249">
        <v>1381.56</v>
      </c>
    </row>
    <row r="250" spans="1:2">
      <c r="B250" s="22">
        <f>SUM(B2:B249)</f>
        <v>449224.56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E4"/>
  <sheetViews>
    <sheetView workbookViewId="0">
      <selection activeCell="I8" sqref="I8"/>
    </sheetView>
  </sheetViews>
  <sheetFormatPr defaultColWidth="9" defaultRowHeight="14" outlineLevelRow="3" outlineLevelCol="4"/>
  <cols>
    <col min="1" max="1" width="17.25" customWidth="1"/>
    <col min="2" max="2" width="13.125" customWidth="1"/>
  </cols>
  <sheetData>
    <row r="1" s="17" customFormat="1" ht="29.25" customHeight="1" spans="1:5">
      <c r="A1" s="17" t="s">
        <v>60</v>
      </c>
      <c r="B1" s="17" t="s">
        <v>623</v>
      </c>
      <c r="C1" s="17" t="s">
        <v>452</v>
      </c>
      <c r="D1" s="17" t="s">
        <v>624</v>
      </c>
      <c r="E1" s="18" t="s">
        <v>625</v>
      </c>
    </row>
    <row r="2" s="17" customFormat="1" ht="29.25" customHeight="1" spans="1:5">
      <c r="A2" s="17" t="s">
        <v>626</v>
      </c>
      <c r="C2" s="17">
        <v>568.1</v>
      </c>
      <c r="D2" s="17">
        <v>598</v>
      </c>
      <c r="E2" s="17">
        <f t="shared" ref="E2:E4" si="0">D2-C2</f>
        <v>29.9</v>
      </c>
    </row>
    <row r="3" s="17" customFormat="1" ht="29.25" customHeight="1" spans="1:5">
      <c r="A3" s="17" t="s">
        <v>627</v>
      </c>
      <c r="C3" s="17">
        <v>311.6</v>
      </c>
      <c r="D3" s="17">
        <v>328</v>
      </c>
      <c r="E3" s="17">
        <f t="shared" si="0"/>
        <v>16.4</v>
      </c>
    </row>
    <row r="4" s="17" customFormat="1" ht="29.25" customHeight="1" spans="1:5">
      <c r="A4" s="17" t="s">
        <v>628</v>
      </c>
      <c r="B4" s="17" t="s">
        <v>629</v>
      </c>
      <c r="C4" s="17">
        <v>568.1</v>
      </c>
      <c r="D4" s="17">
        <v>598</v>
      </c>
      <c r="E4" s="17">
        <f t="shared" si="0"/>
        <v>29.9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D2"/>
  <sheetViews>
    <sheetView workbookViewId="0">
      <selection activeCell="B30" sqref="B30"/>
    </sheetView>
  </sheetViews>
  <sheetFormatPr defaultColWidth="9" defaultRowHeight="14" outlineLevelRow="1" outlineLevelCol="3"/>
  <cols>
    <col min="4" max="4" width="15.25" customWidth="1"/>
  </cols>
  <sheetData>
    <row r="1" spans="1:4">
      <c r="A1" t="s">
        <v>630</v>
      </c>
      <c r="B1" t="s">
        <v>56</v>
      </c>
      <c r="C1" t="s">
        <v>57</v>
      </c>
      <c r="D1" t="s">
        <v>261</v>
      </c>
    </row>
    <row r="2" spans="1:4">
      <c r="A2" t="s">
        <v>631</v>
      </c>
      <c r="B2">
        <v>298</v>
      </c>
      <c r="C2">
        <v>298</v>
      </c>
      <c r="D2" t="s">
        <v>632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theme="5" tint="0.599993896298105"/>
  </sheetPr>
  <dimension ref="A1:D17"/>
  <sheetViews>
    <sheetView workbookViewId="0">
      <selection activeCell="A13" sqref="A13"/>
    </sheetView>
  </sheetViews>
  <sheetFormatPr defaultColWidth="9" defaultRowHeight="14" outlineLevelCol="3"/>
  <cols>
    <col min="1" max="1" width="20.25" customWidth="1"/>
    <col min="2" max="2" width="15.125" customWidth="1"/>
    <col min="3" max="3" width="25.875" customWidth="1"/>
  </cols>
  <sheetData>
    <row r="1" s="13" customFormat="1" ht="15" spans="1:4">
      <c r="A1" s="9" t="s">
        <v>61</v>
      </c>
      <c r="B1" s="12" t="s">
        <v>633</v>
      </c>
      <c r="C1" s="9" t="s">
        <v>634</v>
      </c>
    </row>
    <row r="2" s="14" customFormat="1" spans="1:4">
      <c r="A2" s="15" t="s">
        <v>635</v>
      </c>
      <c r="B2" s="16">
        <v>464.57</v>
      </c>
      <c r="C2" s="16">
        <v>2978</v>
      </c>
      <c r="D2"/>
    </row>
    <row r="3" s="14" customFormat="1" spans="1:4">
      <c r="A3" s="15" t="s">
        <v>636</v>
      </c>
      <c r="B3" s="16">
        <v>268.21</v>
      </c>
      <c r="C3" s="16">
        <v>1302</v>
      </c>
      <c r="D3"/>
    </row>
    <row r="4" s="14" customFormat="1" spans="1:4">
      <c r="A4" s="15" t="s">
        <v>637</v>
      </c>
      <c r="B4" s="16">
        <v>306.53</v>
      </c>
      <c r="C4" s="16">
        <v>1488</v>
      </c>
      <c r="D4"/>
    </row>
    <row r="5" s="14" customFormat="1" spans="1:4">
      <c r="A5" s="15" t="s">
        <v>638</v>
      </c>
      <c r="B5" s="16">
        <v>206</v>
      </c>
      <c r="C5" s="16">
        <v>1000</v>
      </c>
      <c r="D5"/>
    </row>
    <row r="6" s="14" customFormat="1" spans="1:4">
      <c r="A6" s="15" t="s">
        <v>639</v>
      </c>
      <c r="B6" s="16">
        <v>268.21</v>
      </c>
      <c r="C6" s="16">
        <v>1302</v>
      </c>
      <c r="D6"/>
    </row>
    <row r="7" s="14" customFormat="1" spans="1:4">
      <c r="A7" s="15" t="s">
        <v>640</v>
      </c>
      <c r="B7" s="16">
        <v>312.51</v>
      </c>
      <c r="C7" s="16">
        <v>1517</v>
      </c>
      <c r="D7"/>
    </row>
    <row r="8" s="14" customFormat="1" spans="1:4">
      <c r="A8" s="15" t="s">
        <v>641</v>
      </c>
      <c r="B8" s="16">
        <v>203.28</v>
      </c>
      <c r="C8" s="16">
        <v>1303</v>
      </c>
      <c r="D8"/>
    </row>
    <row r="9" s="14" customFormat="1" spans="1:4">
      <c r="A9" s="15" t="s">
        <v>642</v>
      </c>
      <c r="B9" s="16">
        <v>134.1</v>
      </c>
      <c r="C9" s="16">
        <v>1265</v>
      </c>
      <c r="D9"/>
    </row>
    <row r="10" s="14" customFormat="1" spans="1:4">
      <c r="A10" s="15" t="s">
        <v>643</v>
      </c>
      <c r="B10" s="16">
        <v>247</v>
      </c>
      <c r="C10" s="16">
        <v>1199</v>
      </c>
      <c r="D10"/>
    </row>
    <row r="11" s="14" customFormat="1" spans="1:4">
      <c r="A11" s="15" t="s">
        <v>644</v>
      </c>
      <c r="B11" s="16">
        <v>206</v>
      </c>
      <c r="C11" s="16">
        <v>1000</v>
      </c>
      <c r="D11"/>
    </row>
    <row r="12" s="14" customFormat="1" spans="1:4">
      <c r="A12" s="15" t="s">
        <v>645</v>
      </c>
      <c r="B12" s="16">
        <v>246.79</v>
      </c>
      <c r="C12" s="16">
        <v>1198</v>
      </c>
      <c r="D12"/>
    </row>
    <row r="13" s="14" customFormat="1" spans="1:4">
      <c r="A13" s="43" t="s">
        <v>646</v>
      </c>
      <c r="B13" s="16">
        <v>526.12</v>
      </c>
      <c r="C13" s="16">
        <v>2554</v>
      </c>
      <c r="D13"/>
    </row>
    <row r="14" s="14" customFormat="1" spans="1:4">
      <c r="A14" s="15" t="s">
        <v>647</v>
      </c>
      <c r="B14" s="16">
        <v>412</v>
      </c>
      <c r="C14" s="16">
        <v>2000</v>
      </c>
      <c r="D14"/>
    </row>
    <row r="15" s="14" customFormat="1" spans="1:4">
      <c r="A15" s="15" t="s">
        <v>648</v>
      </c>
      <c r="B15" s="16">
        <v>176.45</v>
      </c>
      <c r="C15" s="16">
        <v>1131</v>
      </c>
      <c r="D15"/>
    </row>
    <row r="16" s="14" customFormat="1" spans="1:4">
      <c r="A16" s="15" t="s">
        <v>649</v>
      </c>
      <c r="B16" s="16">
        <v>232.78</v>
      </c>
      <c r="C16" s="16">
        <v>1130</v>
      </c>
      <c r="D16"/>
    </row>
    <row r="17" spans="3:3">
      <c r="C17">
        <f>SUM(C2:C16)</f>
        <v>22367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theme="5" tint="0.599993896298105"/>
  </sheetPr>
  <dimension ref="A1:E2"/>
  <sheetViews>
    <sheetView workbookViewId="0">
      <selection activeCell="A7" sqref="A7"/>
    </sheetView>
  </sheetViews>
  <sheetFormatPr defaultColWidth="9" defaultRowHeight="14" outlineLevelRow="1" outlineLevelCol="4"/>
  <cols>
    <col min="1" max="2" width="20.25" customWidth="1"/>
    <col min="3" max="3" width="15.375" customWidth="1"/>
    <col min="5" max="5" width="13.625" customWidth="1"/>
  </cols>
  <sheetData>
    <row r="1" s="8" customFormat="1" ht="60" spans="1:5">
      <c r="A1" s="9" t="s">
        <v>650</v>
      </c>
      <c r="B1" s="9" t="s">
        <v>651</v>
      </c>
      <c r="C1" s="10" t="s">
        <v>652</v>
      </c>
      <c r="D1" s="11" t="s">
        <v>633</v>
      </c>
      <c r="E1" s="12" t="s">
        <v>653</v>
      </c>
    </row>
    <row r="2" spans="1:5">
      <c r="A2" s="44" t="s">
        <v>654</v>
      </c>
      <c r="B2" s="44" t="s">
        <v>655</v>
      </c>
      <c r="C2">
        <v>83.205</v>
      </c>
      <c r="D2">
        <v>73.42</v>
      </c>
      <c r="E2" t="s">
        <v>656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theme="5" tint="0.599993896298105"/>
  </sheetPr>
  <dimension ref="A1:C17"/>
  <sheetViews>
    <sheetView workbookViewId="0">
      <selection activeCell="J16" sqref="J16"/>
    </sheetView>
  </sheetViews>
  <sheetFormatPr defaultColWidth="9" defaultRowHeight="14" outlineLevelCol="2"/>
  <sheetData>
    <row r="1" s="6" customFormat="1" ht="20.25" customHeight="1" spans="1:3">
      <c r="A1" s="6" t="s">
        <v>55</v>
      </c>
      <c r="B1" s="6" t="s">
        <v>56</v>
      </c>
      <c r="C1" s="6" t="s">
        <v>625</v>
      </c>
    </row>
    <row r="2" spans="1:3">
      <c r="A2" t="s">
        <v>646</v>
      </c>
      <c r="B2">
        <v>2554</v>
      </c>
      <c r="C2" s="7">
        <f>ROUND(VLOOKUP(A2,[2]日历房!$A$123:$AM$137,12,0),3)</f>
        <v>526.12</v>
      </c>
    </row>
    <row r="3" spans="1:3">
      <c r="A3" t="s">
        <v>642</v>
      </c>
      <c r="B3">
        <v>1265</v>
      </c>
      <c r="C3" s="7">
        <f>ROUND(VLOOKUP(A3,[2]日历房!$A$123:$AM$137,12,0),3)</f>
        <v>134.1</v>
      </c>
    </row>
    <row r="4" spans="1:3">
      <c r="A4" t="s">
        <v>648</v>
      </c>
      <c r="B4">
        <v>1131</v>
      </c>
      <c r="C4" s="7">
        <f>ROUND(VLOOKUP(A4,[2]日历房!$A$123:$AM$137,12,0),3)</f>
        <v>176.45</v>
      </c>
    </row>
    <row r="5" spans="1:3">
      <c r="A5" t="s">
        <v>649</v>
      </c>
      <c r="B5">
        <v>1130</v>
      </c>
      <c r="C5" s="7">
        <f>ROUND(VLOOKUP(A5,[2]日历房!$A$123:$AM$137,12,0),3)</f>
        <v>232.78</v>
      </c>
    </row>
    <row r="6" spans="1:3">
      <c r="A6" t="s">
        <v>647</v>
      </c>
      <c r="B6">
        <f>1000+1000</f>
        <v>2000</v>
      </c>
      <c r="C6" s="7">
        <f>ROUND(VLOOKUP(A6,[2]日历房!$A$123:$AM$137,12,0),3)</f>
        <v>412</v>
      </c>
    </row>
    <row r="7" spans="1:3">
      <c r="A7" t="s">
        <v>635</v>
      </c>
      <c r="B7">
        <v>2978</v>
      </c>
      <c r="C7" s="7">
        <f>ROUND(VLOOKUP(A7,[2]日历房!$A$123:$AM$137,12,0),3)</f>
        <v>464.57</v>
      </c>
    </row>
    <row r="8" spans="1:3">
      <c r="A8" t="s">
        <v>640</v>
      </c>
      <c r="B8">
        <v>1517</v>
      </c>
      <c r="C8" s="7">
        <f>ROUND(VLOOKUP(A8,[2]日历房!$A$123:$AM$137,12,0),3)</f>
        <v>312.51</v>
      </c>
    </row>
    <row r="9" spans="1:3">
      <c r="A9" t="s">
        <v>641</v>
      </c>
      <c r="B9">
        <v>1303</v>
      </c>
      <c r="C9" s="7">
        <f>ROUND(VLOOKUP(A9,[2]日历房!$A$123:$AM$137,12,0),3)</f>
        <v>203.28</v>
      </c>
    </row>
    <row r="10" spans="1:3">
      <c r="A10" t="s">
        <v>636</v>
      </c>
      <c r="B10">
        <v>1302</v>
      </c>
      <c r="C10" s="7">
        <f>ROUND(VLOOKUP(A10,[2]日历房!$A$123:$AM$137,12,0),3)</f>
        <v>268.21</v>
      </c>
    </row>
    <row r="11" spans="1:3">
      <c r="A11" t="s">
        <v>639</v>
      </c>
      <c r="B11">
        <v>1302</v>
      </c>
      <c r="C11" s="7">
        <f>ROUND(VLOOKUP(A11,[2]日历房!$A$123:$AM$137,12,0),3)</f>
        <v>268.21</v>
      </c>
    </row>
    <row r="12" spans="1:3">
      <c r="A12" t="s">
        <v>643</v>
      </c>
      <c r="B12">
        <v>1199</v>
      </c>
      <c r="C12" s="7">
        <f>ROUND(VLOOKUP(A12,[2]日历房!$A$123:$AM$137,12,0),3)</f>
        <v>247</v>
      </c>
    </row>
    <row r="13" spans="1:3">
      <c r="A13" t="s">
        <v>645</v>
      </c>
      <c r="B13">
        <v>1198</v>
      </c>
      <c r="C13" s="7">
        <f>ROUND(VLOOKUP(A13,[2]日历房!$A$123:$AM$137,12,0),3)</f>
        <v>246.79</v>
      </c>
    </row>
    <row r="14" spans="1:3">
      <c r="A14" t="s">
        <v>644</v>
      </c>
      <c r="B14">
        <v>1000</v>
      </c>
      <c r="C14" s="7">
        <f>ROUND(VLOOKUP(A14,[2]日历房!$A$123:$AM$137,12,0),3)</f>
        <v>206</v>
      </c>
    </row>
    <row r="15" spans="1:3">
      <c r="A15" t="s">
        <v>637</v>
      </c>
      <c r="B15">
        <v>1488</v>
      </c>
      <c r="C15" s="7">
        <f>ROUND(VLOOKUP(A15,[2]日历房!$A$123:$AM$137,12,0),3)</f>
        <v>306.53</v>
      </c>
    </row>
    <row r="16" spans="1:3">
      <c r="A16" t="s">
        <v>638</v>
      </c>
      <c r="B16">
        <v>1000</v>
      </c>
      <c r="C16" s="7">
        <f>ROUND(VLOOKUP(A16,[2]日历房!$A$123:$AM$137,12,0),3)</f>
        <v>206</v>
      </c>
    </row>
    <row r="17" spans="2:2">
      <c r="B17">
        <f>SUM(B2:B16)</f>
        <v>22367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tabColor theme="4" tint="0.399975585192419"/>
  </sheetPr>
  <dimension ref="A1:H14"/>
  <sheetViews>
    <sheetView workbookViewId="0">
      <selection activeCell="B21" sqref="B21"/>
    </sheetView>
  </sheetViews>
  <sheetFormatPr defaultColWidth="9" defaultRowHeight="14" outlineLevelCol="7"/>
  <cols>
    <col min="1" max="1" width="20.25" customWidth="1"/>
    <col min="2" max="2" width="88" customWidth="1"/>
    <col min="6" max="6" width="30.0833333333333" customWidth="1"/>
  </cols>
  <sheetData>
    <row r="1" spans="1:8">
      <c r="A1" t="s">
        <v>657</v>
      </c>
      <c r="B1" s="1" t="s">
        <v>658</v>
      </c>
      <c r="C1" t="s">
        <v>659</v>
      </c>
      <c r="D1" t="s">
        <v>660</v>
      </c>
      <c r="E1" s="2" t="s">
        <v>661</v>
      </c>
      <c r="F1" t="s">
        <v>662</v>
      </c>
      <c r="G1" t="s">
        <v>663</v>
      </c>
      <c r="H1" s="2" t="s">
        <v>664</v>
      </c>
    </row>
    <row r="2" spans="1:8">
      <c r="A2" s="44" t="s">
        <v>665</v>
      </c>
      <c r="B2" s="3">
        <v>1129</v>
      </c>
      <c r="C2" s="4">
        <v>-90.32</v>
      </c>
      <c r="D2" s="4">
        <v>0</v>
      </c>
      <c r="E2" s="4">
        <v>0</v>
      </c>
      <c r="F2" s="4">
        <v>-112.9</v>
      </c>
      <c r="G2" t="s">
        <v>666</v>
      </c>
      <c r="H2" t="s">
        <v>667</v>
      </c>
    </row>
    <row r="3" spans="1:8">
      <c r="A3" t="s">
        <v>668</v>
      </c>
      <c r="B3" s="3">
        <v>1129</v>
      </c>
      <c r="C3" s="4">
        <v>-90.32</v>
      </c>
      <c r="D3" s="4">
        <v>-45.16</v>
      </c>
      <c r="E3" s="4">
        <v>0</v>
      </c>
      <c r="F3" s="4">
        <v>-67.74</v>
      </c>
      <c r="G3" t="s">
        <v>669</v>
      </c>
      <c r="H3" t="s">
        <v>667</v>
      </c>
    </row>
    <row r="4" spans="1:8">
      <c r="A4" t="s">
        <v>670</v>
      </c>
      <c r="B4" s="3">
        <v>1318</v>
      </c>
      <c r="C4" s="4">
        <v>-105.44</v>
      </c>
      <c r="D4" s="4">
        <v>0</v>
      </c>
      <c r="E4" s="4">
        <v>0</v>
      </c>
      <c r="F4" s="4">
        <v>-131.8</v>
      </c>
      <c r="G4" t="s">
        <v>666</v>
      </c>
      <c r="H4" t="s">
        <v>667</v>
      </c>
    </row>
    <row r="5" spans="1:8">
      <c r="A5" t="s">
        <v>671</v>
      </c>
      <c r="B5" s="3">
        <v>1199</v>
      </c>
      <c r="C5" s="4">
        <v>-95.92</v>
      </c>
      <c r="D5" s="4">
        <v>0</v>
      </c>
      <c r="E5" s="4">
        <v>0</v>
      </c>
      <c r="F5" s="4">
        <v>0</v>
      </c>
      <c r="G5" t="s">
        <v>672</v>
      </c>
      <c r="H5" t="s">
        <v>673</v>
      </c>
    </row>
    <row r="6" spans="1:8">
      <c r="A6" t="s">
        <v>674</v>
      </c>
      <c r="B6" s="3">
        <v>1129</v>
      </c>
      <c r="C6" s="4">
        <v>-90.32</v>
      </c>
      <c r="D6" s="4">
        <v>0</v>
      </c>
      <c r="E6" s="4">
        <v>0</v>
      </c>
      <c r="F6" s="4">
        <v>-112.9</v>
      </c>
      <c r="G6" t="s">
        <v>666</v>
      </c>
      <c r="H6" t="s">
        <v>667</v>
      </c>
    </row>
    <row r="7" spans="1:8">
      <c r="A7" t="s">
        <v>675</v>
      </c>
      <c r="B7" s="3">
        <v>1129</v>
      </c>
      <c r="C7" s="4">
        <v>-90.32</v>
      </c>
      <c r="D7" s="4">
        <v>0</v>
      </c>
      <c r="E7" s="4">
        <v>0</v>
      </c>
      <c r="F7" s="4">
        <v>-112.9</v>
      </c>
      <c r="G7" t="s">
        <v>666</v>
      </c>
      <c r="H7" t="s">
        <v>667</v>
      </c>
    </row>
    <row r="8" spans="1:8">
      <c r="A8" t="s">
        <v>676</v>
      </c>
      <c r="B8" s="3">
        <v>1129</v>
      </c>
      <c r="C8" s="4">
        <v>-90.32</v>
      </c>
      <c r="D8" s="4">
        <v>0</v>
      </c>
      <c r="E8" s="4">
        <v>0</v>
      </c>
      <c r="F8" s="4">
        <v>-112.9</v>
      </c>
      <c r="G8" t="s">
        <v>666</v>
      </c>
      <c r="H8" t="s">
        <v>667</v>
      </c>
    </row>
    <row r="9" spans="1:8">
      <c r="A9" t="s">
        <v>677</v>
      </c>
      <c r="B9" s="3">
        <v>1129</v>
      </c>
      <c r="C9" s="4">
        <v>-90.32</v>
      </c>
      <c r="D9" s="4">
        <v>-45.16</v>
      </c>
      <c r="E9" s="4">
        <v>0</v>
      </c>
      <c r="F9" s="4">
        <v>-67.74</v>
      </c>
      <c r="G9" t="s">
        <v>669</v>
      </c>
      <c r="H9" t="s">
        <v>667</v>
      </c>
    </row>
    <row r="10" spans="1:8">
      <c r="A10" t="s">
        <v>678</v>
      </c>
      <c r="B10" s="3">
        <v>1129</v>
      </c>
      <c r="C10" s="4">
        <v>-90.32</v>
      </c>
      <c r="D10" s="4">
        <v>0</v>
      </c>
      <c r="E10" s="4">
        <v>0</v>
      </c>
      <c r="F10" s="4">
        <v>-112.9</v>
      </c>
      <c r="G10" t="s">
        <v>666</v>
      </c>
      <c r="H10" t="s">
        <v>667</v>
      </c>
    </row>
    <row r="11" spans="1:8">
      <c r="A11" t="s">
        <v>679</v>
      </c>
      <c r="B11" s="3">
        <v>1318</v>
      </c>
      <c r="C11" s="4">
        <v>-105.44</v>
      </c>
      <c r="D11" s="4">
        <v>-52.72</v>
      </c>
      <c r="E11" s="4">
        <v>0</v>
      </c>
      <c r="F11" s="4">
        <v>-79.08</v>
      </c>
      <c r="G11" t="s">
        <v>669</v>
      </c>
      <c r="H11" t="s">
        <v>667</v>
      </c>
    </row>
    <row r="12" spans="1:8">
      <c r="A12" t="s">
        <v>680</v>
      </c>
      <c r="B12" s="3">
        <v>1129</v>
      </c>
      <c r="C12" s="4">
        <v>-90.32</v>
      </c>
      <c r="D12" s="4">
        <v>-45.16</v>
      </c>
      <c r="E12" s="4">
        <v>0</v>
      </c>
      <c r="F12" s="4">
        <v>-67.74</v>
      </c>
      <c r="G12" t="s">
        <v>669</v>
      </c>
      <c r="H12" t="s">
        <v>667</v>
      </c>
    </row>
    <row r="13" spans="1:8">
      <c r="A13" t="s">
        <v>681</v>
      </c>
      <c r="B13" s="3">
        <v>1138</v>
      </c>
      <c r="C13" s="4">
        <v>-91.04</v>
      </c>
      <c r="D13" s="4">
        <v>-57.36</v>
      </c>
      <c r="E13" s="4">
        <v>-10.92</v>
      </c>
      <c r="F13" s="4">
        <v>-45.52</v>
      </c>
      <c r="G13" t="s">
        <v>682</v>
      </c>
      <c r="H13" t="s">
        <v>667</v>
      </c>
    </row>
    <row r="14" spans="1:8">
      <c r="B14">
        <f>SUM(B2:B13)</f>
        <v>14005</v>
      </c>
      <c r="C14">
        <f>SUM(C2:C13)</f>
        <v>-1120.4</v>
      </c>
      <c r="D14">
        <f>SUM(D2:D13)</f>
        <v>-245.56</v>
      </c>
      <c r="E14">
        <f>SUM(E2:E13)</f>
        <v>-10.92</v>
      </c>
      <c r="F14">
        <f>SUM(F2:F13)</f>
        <v>-1024.12</v>
      </c>
      <c r="G14" s="5">
        <f>B14+D14+F14+E14</f>
        <v>12724.4</v>
      </c>
      <c r="H14" s="5">
        <f>+F14+D14+C14+E14</f>
        <v>-2401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tabColor theme="4" tint="0.399975585192419"/>
  </sheetPr>
  <dimension ref="A1:B14"/>
  <sheetViews>
    <sheetView workbookViewId="0">
      <selection activeCell="F12" sqref="F12"/>
    </sheetView>
  </sheetViews>
  <sheetFormatPr defaultColWidth="9" defaultRowHeight="14" outlineLevelCol="1"/>
  <cols>
    <col min="1" max="1" width="21.625" customWidth="1"/>
  </cols>
  <sheetData>
    <row r="1" spans="1:2">
      <c r="A1" t="s">
        <v>55</v>
      </c>
      <c r="B1" t="s">
        <v>56</v>
      </c>
    </row>
    <row r="2" spans="1:2">
      <c r="A2" t="s">
        <v>683</v>
      </c>
      <c r="B2">
        <v>1129</v>
      </c>
    </row>
    <row r="3" spans="1:2">
      <c r="A3" t="s">
        <v>684</v>
      </c>
      <c r="B3">
        <v>1129</v>
      </c>
    </row>
    <row r="4" spans="1:2">
      <c r="A4" t="s">
        <v>685</v>
      </c>
      <c r="B4">
        <v>1129</v>
      </c>
    </row>
    <row r="5" spans="1:2">
      <c r="A5" t="s">
        <v>686</v>
      </c>
      <c r="B5">
        <v>1129</v>
      </c>
    </row>
    <row r="6" spans="1:2">
      <c r="A6" t="s">
        <v>687</v>
      </c>
      <c r="B6">
        <v>1129</v>
      </c>
    </row>
    <row r="7" spans="1:2">
      <c r="A7" t="s">
        <v>688</v>
      </c>
      <c r="B7">
        <v>1129</v>
      </c>
    </row>
    <row r="8" spans="1:2">
      <c r="A8" t="s">
        <v>689</v>
      </c>
      <c r="B8">
        <v>1129</v>
      </c>
    </row>
    <row r="9" spans="1:2">
      <c r="A9" t="s">
        <v>690</v>
      </c>
      <c r="B9">
        <v>1129</v>
      </c>
    </row>
    <row r="10" spans="1:2">
      <c r="A10" t="s">
        <v>691</v>
      </c>
      <c r="B10">
        <v>1318</v>
      </c>
    </row>
    <row r="11" spans="1:2">
      <c r="A11" t="s">
        <v>692</v>
      </c>
      <c r="B11">
        <v>1318</v>
      </c>
    </row>
    <row r="12" spans="1:2">
      <c r="A12" t="s">
        <v>671</v>
      </c>
      <c r="B12">
        <v>1199</v>
      </c>
    </row>
    <row r="13" spans="1:2">
      <c r="A13" s="44" t="s">
        <v>693</v>
      </c>
      <c r="B13">
        <v>1138</v>
      </c>
    </row>
    <row r="14" spans="1:2">
      <c r="B14">
        <f>SUM(B2:B13)</f>
        <v>14005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美团客房OTA</vt:lpstr>
      <vt:lpstr>美团客房rezen</vt:lpstr>
      <vt:lpstr>美团餐饮OTA</vt:lpstr>
      <vt:lpstr>美团餐饮rezen</vt:lpstr>
      <vt:lpstr>携程客房OTA</vt:lpstr>
      <vt:lpstr>携程客房rezen</vt:lpstr>
      <vt:lpstr>携程餐饮OTA</vt:lpstr>
      <vt:lpstr>携程餐饮rezen</vt:lpstr>
      <vt:lpstr>飞猪OTA1</vt:lpstr>
      <vt:lpstr>飞猪OTA2</vt:lpstr>
      <vt:lpstr>飞猪rezen</vt:lpstr>
      <vt:lpstr>抖音OTA</vt:lpstr>
      <vt:lpstr>抖音rezen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He</dc:creator>
  <cp:lastModifiedBy>WPS_1762599602</cp:lastModifiedBy>
  <dcterms:created xsi:type="dcterms:W3CDTF">2026-07-23T01:01:00Z</dcterms:created>
  <dcterms:modified xsi:type="dcterms:W3CDTF">2026-07-27T06:02:31Z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E6C08E0878DF49B08621B24330401CED_13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